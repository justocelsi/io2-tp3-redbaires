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Modelo de datos" sheetId="2" state="visible" r:id="rId2"/>
    <sheet name="Parámetros CSV" sheetId="3" state="visible" r:id="rId3"/>
    <sheet name="Llegadas" sheetId="4" state="visible" r:id="rId4"/>
    <sheet name="Tipos de cuenta" sheetId="5" state="visible" r:id="rId5"/>
    <sheet name="Generaciones" sheetId="6" state="visible" r:id="rId6"/>
    <sheet name="Marca" sheetId="7" state="visible" r:id="rId7"/>
    <sheet name="Ajuste D19" sheetId="8" state="visible" r:id="rId8"/>
    <sheet name="Validación" sheetId="9" state="visible" r:id="rId9"/>
    <sheet name="A priori" sheetId="10" state="visible" r:id="rId10"/>
    <sheet name="Diccionario" sheetId="11" state="visible" r:id="rId11"/>
    <sheet name="Limpieza" sheetId="12" state="visible" r:id="rId12"/>
    <sheet name="Decision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#"/>
    <numFmt numFmtId="165" formatCode="0.0%"/>
    <numFmt numFmtId="166" formatCode="0.0"/>
    <numFmt numFmtId="167" formatCode="0.000"/>
    <numFmt numFmtId="168" formatCode="#,##0.##"/>
    <numFmt numFmtId="169" formatCode="0.00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555555"/>
      <sz val="9"/>
    </font>
    <font>
      <name val="Arial"/>
      <color rgb="00008000"/>
      <sz val="10"/>
    </font>
    <font>
      <name val="Courier New"/>
      <color rgb="0028497B"/>
      <sz val="10"/>
    </font>
  </fonts>
  <fills count="4">
    <fill>
      <patternFill/>
    </fill>
    <fill>
      <patternFill patternType="gray125"/>
    </fill>
    <fill>
      <patternFill patternType="solid">
        <fgColor rgb="0028497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CFD7E1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2" fontId="7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pivotButton="0" quotePrefix="0" xfId="0"/>
    <xf numFmtId="3" fontId="5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0" fontId="4" fillId="2" borderId="0" pivotButton="0" quotePrefix="0" xfId="0"/>
    <xf numFmtId="166" fontId="3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2" fontId="5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7" fontId="2" fillId="0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8" fontId="5" fillId="0" borderId="1" applyAlignment="1" pivotButton="0" quotePrefix="0" xfId="0">
      <alignment vertical="top" wrapText="1"/>
    </xf>
    <xf numFmtId="1" fontId="7" fillId="0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9" fontId="7" fillId="0" borderId="1" applyAlignment="1" pivotButton="0" quotePrefix="0" xfId="0">
      <alignment vertical="top" wrapText="1"/>
    </xf>
    <xf numFmtId="169" fontId="3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167" fontId="2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 wrapText="1"/>
    </xf>
    <xf numFmtId="168" fontId="5" fillId="0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  <xf numFmtId="169" fontId="7" fillId="0" borderId="1" applyAlignment="1" pivotButton="0" quotePrefix="0" xfId="0">
      <alignment vertical="top" wrapText="1"/>
    </xf>
    <xf numFmtId="169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TP3</author>
  </authors>
  <commentList>
    <comment ref="C3" authorId="0" shapeId="0">
      <text>
        <t>Primera semilla 1/3/2025, última 27/8/2025 (sin las fechas en 2099).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TP3 IO II · RedBaires · modelo de datos</t>
        </is>
      </c>
    </row>
    <row r="3">
      <c r="A3" s="2" t="inlineStr">
        <is>
          <t>Estado</t>
        </is>
      </c>
      <c r="B3" s="3" t="inlineStr">
        <is>
          <t>25/9/2026. Todo sale de muestra_cascadas_REDBAIRES.csv sin las 132 filas duplicadas y de parametros_y_costos.csv.</t>
        </is>
      </c>
    </row>
    <row r="4">
      <c r="A4" s="2" t="inlineStr">
        <is>
          <t>Base de las medias</t>
        </is>
      </c>
      <c r="B4" s="3" t="inlineStr">
        <is>
          <t>Las medias de hijos (R) excluyen las 14 cascadas cortadas en 500 eventos (D14), así que algunas difieren un poco de las del README.</t>
        </is>
      </c>
    </row>
    <row r="5">
      <c r="A5" s="2" t="inlineStr">
        <is>
          <t>Colores</t>
        </is>
      </c>
      <c r="B5" s="3" t="inlineStr">
        <is>
          <t>Azul: dato medido o del CSV, cargado a mano. Negro: fórmula. Verde: fórmula que trae un valor de otra hoja. Amarillo: para completar por el grupo.</t>
        </is>
      </c>
    </row>
    <row r="6">
      <c r="A6" s="2" t="inlineStr">
        <is>
          <t>Modelo de datos</t>
        </is>
      </c>
      <c r="B6" s="3" t="inlineStr">
        <is>
          <t>La tabla con el formato de la clase 06: variable, U.M., valor, tipo de función, parámetros y relación. Una fila por elemento del modelo conceptual.</t>
        </is>
      </c>
    </row>
    <row r="7">
      <c r="A7" s="2" t="inlineStr">
        <is>
          <t>Parámetros CSV</t>
        </is>
      </c>
      <c r="B7" s="3" t="inlineStr">
        <is>
          <t>parametros_y_costos.csv tal cual, con valor base y rango.</t>
        </is>
      </c>
    </row>
    <row r="8">
      <c r="A8" s="2" t="inlineStr">
        <is>
          <t>Llegadas</t>
        </is>
      </c>
      <c r="B8" s="3" t="inlineStr">
        <is>
          <t>Semillas por hora del día y por día de la semana, y la tasa por hora que sale de ahí.</t>
        </is>
      </c>
    </row>
    <row r="9">
      <c r="A9" s="2" t="inlineStr">
        <is>
          <t>Tipos de cuenta</t>
        </is>
      </c>
      <c r="B9" s="3" t="inlineStr">
        <is>
          <t>Mezcla de tipos en semillas y en reenvíos, hijos medios (R) y seguidores por tipo.</t>
        </is>
      </c>
    </row>
    <row r="10">
      <c r="A10" s="2" t="inlineStr">
        <is>
          <t>Generaciones</t>
        </is>
      </c>
      <c r="B10" s="3" t="inlineStr">
        <is>
          <t>Hijos medios por generación: el decaimiento (D18).</t>
        </is>
      </c>
    </row>
    <row r="11">
      <c r="A11" s="2" t="inlineStr">
        <is>
          <t>Marca</t>
        </is>
      </c>
      <c r="B11" s="3" t="inlineStr">
        <is>
          <t>Probabilidad de que Centinela marque, por tema y quintil de toxicidad.</t>
        </is>
      </c>
    </row>
    <row r="12">
      <c r="A12" s="2" t="inlineStr">
        <is>
          <t>Ajuste D19</t>
        </is>
      </c>
      <c r="B12" s="3" t="inlineStr">
        <is>
          <t>Ajuste de distribuciones al tiempo entre generaciones.</t>
        </is>
      </c>
    </row>
    <row r="13">
      <c r="A13" s="2" t="inlineStr">
        <is>
          <t>Validación</t>
        </is>
      </c>
      <c r="B13" s="3" t="inlineStr">
        <is>
          <t>Los números que el simulador tiene que reproducir.</t>
        </is>
      </c>
    </row>
    <row r="14">
      <c r="A14" s="2" t="inlineStr">
        <is>
          <t>A priori</t>
        </is>
      </c>
      <c r="B14" s="3" t="inlineStr">
        <is>
          <t>Cuentas sin simular: tamaño esperado, ocupación del moderador y tipo de cambio. Son fórmulas sobre las otras hojas.</t>
        </is>
      </c>
    </row>
    <row r="15">
      <c r="A15" s="2" t="inlineStr">
        <is>
          <t>Diccionario</t>
        </is>
      </c>
      <c r="B15" s="3" t="inlineStr">
        <is>
          <t>Qué es cada columna de la muestra y cómo lo sabemos.</t>
        </is>
      </c>
    </row>
    <row r="16">
      <c r="A16" s="2" t="inlineStr">
        <is>
          <t>Limpieza</t>
        </is>
      </c>
      <c r="B16" s="3" t="inlineStr">
        <is>
          <t>Lo sucio de la muestra.</t>
        </is>
      </c>
    </row>
    <row r="17">
      <c r="A17" s="2" t="inlineStr">
        <is>
          <t>Decisiones</t>
        </is>
      </c>
      <c r="B17" s="3" t="inlineStr">
        <is>
          <t>D1 a D20, como en el README y el artifact. La columna amarilla es para lo que elija el grupo.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4" customWidth="1" min="3" max="3"/>
    <col width="14" customWidth="1" min="4" max="4"/>
    <col width="12" customWidth="1" min="5" max="5"/>
    <col width="18" customWidth="1" min="6" max="6"/>
    <col width="40" customWidth="1" min="7" max="7"/>
    <col width="34" customWidth="1" min="8" max="8"/>
    <col width="22" customWidth="1" min="9" max="9"/>
  </cols>
  <sheetData>
    <row r="1">
      <c r="A1" s="1" t="inlineStr">
        <is>
          <t>Modelo de datos</t>
        </is>
      </c>
    </row>
    <row r="2">
      <c r="A2" s="4" t="inlineStr">
        <is>
          <t>Formato de la clase 06: la cuantificación de cada elemento definido en el modelo conceptual. Los valores verdes vienen de las otras hojas.</t>
        </is>
      </c>
    </row>
    <row r="3">
      <c r="A3" s="5" t="inlineStr">
        <is>
          <t>Elemento</t>
        </is>
      </c>
      <c r="B3" s="5" t="inlineStr">
        <is>
          <t>Variable</t>
        </is>
      </c>
      <c r="C3" s="5" t="inlineStr">
        <is>
          <t>Descripción</t>
        </is>
      </c>
      <c r="D3" s="5" t="inlineStr">
        <is>
          <t>U.M.</t>
        </is>
      </c>
      <c r="E3" s="5" t="inlineStr">
        <is>
          <t>Valor</t>
        </is>
      </c>
      <c r="F3" s="5" t="inlineStr">
        <is>
          <t>Tipo de función</t>
        </is>
      </c>
      <c r="G3" s="5" t="inlineStr">
        <is>
          <t>Parámetros</t>
        </is>
      </c>
      <c r="H3" s="5" t="inlineStr">
        <is>
          <t>Relación / Expresión</t>
        </is>
      </c>
      <c r="I3" s="5" t="inlineStr">
        <is>
          <t>Estado</t>
        </is>
      </c>
    </row>
    <row r="4">
      <c r="A4" s="6" t="inlineStr">
        <is>
          <t>Entidad</t>
        </is>
      </c>
      <c r="B4" s="7" t="inlineStr">
        <is>
          <t>Llegada de rumores</t>
        </is>
      </c>
      <c r="C4" s="7" t="inlineStr">
        <is>
          <t>tiempo entre semillas</t>
        </is>
      </c>
      <c r="D4" s="7" t="inlineStr">
        <is>
          <t>1/hora</t>
        </is>
      </c>
      <c r="E4" s="8">
        <f>Llegadas!$C$30</f>
        <v/>
      </c>
      <c r="F4" s="7" t="inlineStr">
        <is>
          <t>Exponencial</t>
        </is>
      </c>
      <c r="G4" s="7" t="inlineStr">
        <is>
          <t>λ según la hora del día: hoja Llegadas</t>
        </is>
      </c>
      <c r="H4" s="7" t="inlineStr"/>
      <c r="I4" s="7" t="inlineStr">
        <is>
          <t>propuesta · D15</t>
        </is>
      </c>
    </row>
    <row r="5">
      <c r="A5" s="6" t="inlineStr">
        <is>
          <t>Entidad</t>
        </is>
      </c>
      <c r="B5" s="7" t="inlineStr">
        <is>
          <t>Tipo de cuenta de la semilla</t>
        </is>
      </c>
      <c r="C5" s="7" t="inlineStr">
        <is>
          <t>con qué cuenta arranca la cascada</t>
        </is>
      </c>
      <c r="D5" s="7" t="inlineStr">
        <is>
          <t>tipo</t>
        </is>
      </c>
      <c r="E5" s="9" t="n"/>
      <c r="F5" s="7" t="inlineStr">
        <is>
          <t>Discreta</t>
        </is>
      </c>
      <c r="G5" s="7" t="inlineStr">
        <is>
          <t>BROADCASTER 12 % · CREATOR 17 % · AGGREGATOR 18 % · LURKER 15 % · STANDARD 39 %</t>
        </is>
      </c>
      <c r="H5" s="7" t="inlineStr"/>
      <c r="I5" s="7" t="inlineStr">
        <is>
          <t>medido</t>
        </is>
      </c>
    </row>
    <row r="6">
      <c r="A6" s="6" t="inlineStr">
        <is>
          <t>Atributo</t>
        </is>
      </c>
      <c r="B6" s="7" t="inlineStr">
        <is>
          <t>Frente n[tipo]</t>
        </is>
      </c>
      <c r="C6" s="7" t="inlineStr">
        <is>
          <t>reenvíos vivos de cada tipo en la generación g</t>
        </is>
      </c>
      <c r="D6" s="7" t="inlineStr">
        <is>
          <t>reenvíos</t>
        </is>
      </c>
      <c r="E6" s="37" t="n"/>
      <c r="F6" s="7" t="inlineStr">
        <is>
          <t>Multinomial</t>
        </is>
      </c>
      <c r="G6" s="7" t="inlineStr">
        <is>
          <t>mezcla de reenvíos: hoja Tipos de cuenta</t>
        </is>
      </c>
      <c r="H6" s="7" t="inlineStr"/>
      <c r="I6" s="7" t="inlineStr">
        <is>
          <t>propuesta · D17</t>
        </is>
      </c>
    </row>
    <row r="7">
      <c r="A7" s="6" t="inlineStr">
        <is>
          <t>Actividad</t>
        </is>
      </c>
      <c r="B7" s="7" t="inlineStr">
        <is>
          <t>Hijos del frente</t>
        </is>
      </c>
      <c r="C7" s="7" t="inlineStr">
        <is>
          <t>reenvíos que genera el frente</t>
        </is>
      </c>
      <c r="D7" s="7" t="inlineStr">
        <is>
          <t>reenvíos</t>
        </is>
      </c>
      <c r="E7" s="38">
        <f>'Tipos de cuenta'!$D$9</f>
        <v/>
      </c>
      <c r="F7" s="7" t="inlineStr">
        <is>
          <t>Poisson</t>
        </is>
      </c>
      <c r="G7" s="7" t="inlineStr">
        <is>
          <t>Λ</t>
        </is>
      </c>
      <c r="H7" s="7" t="inlineStr">
        <is>
          <t>Λ = Σ nᵢ · Rᵢ · δ(g)</t>
        </is>
      </c>
      <c r="I7" s="7" t="inlineStr">
        <is>
          <t>propuesta · D16</t>
        </is>
      </c>
    </row>
    <row r="8">
      <c r="A8" s="6" t="inlineStr">
        <is>
          <t>Parámetro</t>
        </is>
      </c>
      <c r="B8" s="7" t="inlineStr">
        <is>
          <t>R BROADCASTER</t>
        </is>
      </c>
      <c r="C8" s="7" t="inlineStr">
        <is>
          <t>hijos medios por evento</t>
        </is>
      </c>
      <c r="D8" s="7" t="inlineStr">
        <is>
          <t>hijos</t>
        </is>
      </c>
      <c r="E8" s="8">
        <f>'Tipos de cuenta'!$D$4</f>
        <v/>
      </c>
      <c r="F8" s="7" t="inlineStr"/>
      <c r="G8" s="7" t="inlineStr"/>
      <c r="H8" s="7" t="inlineStr"/>
      <c r="I8" s="7" t="inlineStr">
        <is>
          <t>medido</t>
        </is>
      </c>
    </row>
    <row r="9">
      <c r="A9" s="6" t="inlineStr">
        <is>
          <t>Parámetro</t>
        </is>
      </c>
      <c r="B9" s="7" t="inlineStr">
        <is>
          <t>R CREATOR</t>
        </is>
      </c>
      <c r="C9" s="7" t="inlineStr">
        <is>
          <t>hijos medios por evento</t>
        </is>
      </c>
      <c r="D9" s="7" t="inlineStr">
        <is>
          <t>hijos</t>
        </is>
      </c>
      <c r="E9" s="8">
        <f>'Tipos de cuenta'!$D$5</f>
        <v/>
      </c>
      <c r="F9" s="7" t="inlineStr"/>
      <c r="G9" s="7" t="inlineStr"/>
      <c r="H9" s="7" t="inlineStr"/>
      <c r="I9" s="7" t="inlineStr">
        <is>
          <t>medido</t>
        </is>
      </c>
    </row>
    <row r="10">
      <c r="A10" s="6" t="inlineStr">
        <is>
          <t>Parámetro</t>
        </is>
      </c>
      <c r="B10" s="7" t="inlineStr">
        <is>
          <t>R AGGREGATOR · LURKER · STANDARD</t>
        </is>
      </c>
      <c r="C10" s="7" t="inlineStr">
        <is>
          <t>hijos medios por evento</t>
        </is>
      </c>
      <c r="D10" s="7" t="inlineStr">
        <is>
          <t>hijos</t>
        </is>
      </c>
      <c r="E10" s="8">
        <f>'Tipos de cuenta'!$D$8</f>
        <v/>
      </c>
      <c r="F10" s="7" t="inlineStr"/>
      <c r="G10" s="7" t="inlineStr">
        <is>
          <t>los tres ~0,59</t>
        </is>
      </c>
      <c r="H10" s="7" t="inlineStr"/>
      <c r="I10" s="7" t="inlineStr">
        <is>
          <t>medido</t>
        </is>
      </c>
    </row>
    <row r="11">
      <c r="A11" s="6" t="inlineStr">
        <is>
          <t>Parámetro</t>
        </is>
      </c>
      <c r="B11" s="7" t="inlineStr">
        <is>
          <t>δ(g)</t>
        </is>
      </c>
      <c r="C11" s="7" t="inlineStr">
        <is>
          <t>decaimiento por generación</t>
        </is>
      </c>
      <c r="D11" s="7" t="inlineStr">
        <is>
          <t>factor</t>
        </is>
      </c>
      <c r="E11" s="9" t="n"/>
      <c r="F11" s="7" t="inlineStr">
        <is>
          <t>Tabla</t>
        </is>
      </c>
      <c r="G11" s="7" t="inlineStr">
        <is>
          <t>hoja Generaciones: de 2,35 en g=0 a 0,37 en g=11</t>
        </is>
      </c>
      <c r="H11" s="7" t="inlineStr"/>
      <c r="I11" s="7" t="inlineStr">
        <is>
          <t>propuesta · D18</t>
        </is>
      </c>
    </row>
    <row r="12">
      <c r="A12" s="6" t="inlineStr">
        <is>
          <t>Atributo</t>
        </is>
      </c>
      <c r="B12" s="7" t="inlineStr">
        <is>
          <t>Seguidores</t>
        </is>
      </c>
      <c r="C12" s="7" t="inlineStr">
        <is>
          <t>audiencia de quien reenvía</t>
        </is>
      </c>
      <c r="D12" s="7" t="inlineStr">
        <is>
          <t>seguidores</t>
        </is>
      </c>
      <c r="E12" s="9" t="n"/>
      <c r="F12" s="7" t="inlineStr">
        <is>
          <t>Empírica por tipo</t>
        </is>
      </c>
      <c r="G12" s="7" t="inlineStr">
        <is>
          <t>mediana: BROADCASTER 422 mil · CREATOR 101 mil · resto ~410</t>
        </is>
      </c>
      <c r="H12" s="7" t="inlineStr"/>
      <c r="I12" s="7" t="inlineStr">
        <is>
          <t>medido</t>
        </is>
      </c>
    </row>
    <row r="13">
      <c r="A13" s="6" t="inlineStr">
        <is>
          <t>Actividad</t>
        </is>
      </c>
      <c r="B13" s="7" t="inlineStr">
        <is>
          <t>Impresiones</t>
        </is>
      </c>
      <c r="C13" s="7" t="inlineStr">
        <is>
          <t>cuántos ven el reenvío</t>
        </is>
      </c>
      <c r="D13" s="7" t="inlineStr">
        <is>
          <t>impresiones</t>
        </is>
      </c>
      <c r="E13" s="8">
        <f>'A priori'!$C$5</f>
        <v/>
      </c>
      <c r="F13" s="7" t="inlineStr">
        <is>
          <t>Determinística</t>
        </is>
      </c>
      <c r="G13" s="7" t="inlineStr"/>
      <c r="H13" s="7" t="inlineStr">
        <is>
          <t>impresiones = 0,15 × seguidores</t>
        </is>
      </c>
      <c r="I13" s="7" t="inlineStr">
        <is>
          <t>medido</t>
        </is>
      </c>
    </row>
    <row r="14">
      <c r="A14" s="6" t="inlineStr">
        <is>
          <t>Actividad</t>
        </is>
      </c>
      <c r="B14" s="7" t="inlineStr">
        <is>
          <t>Tiempo entre generaciones</t>
        </is>
      </c>
      <c r="C14" s="7" t="inlineStr">
        <is>
          <t>demora hasta el frente siguiente</t>
        </is>
      </c>
      <c r="D14" s="7" t="inlineStr">
        <is>
          <t>min</t>
        </is>
      </c>
      <c r="E14" s="39" t="n">
        <v>43</v>
      </c>
      <c r="F14" s="7" t="inlineStr">
        <is>
          <t>Gamma</t>
        </is>
      </c>
      <c r="G14" s="7" t="inlineStr">
        <is>
          <t>forma 0,55 · escala 128 min</t>
        </is>
      </c>
      <c r="H14" s="7" t="inlineStr"/>
      <c r="I14" s="7" t="inlineStr">
        <is>
          <t>abierta · D19</t>
        </is>
      </c>
    </row>
    <row r="15">
      <c r="A15" s="6" t="inlineStr">
        <is>
          <t>Evento</t>
        </is>
      </c>
      <c r="B15" s="7" t="inlineStr">
        <is>
          <t>Marca de Centinela</t>
        </is>
      </c>
      <c r="C15" s="7" t="inlineStr">
        <is>
          <t>si el reenvío entra a la cola</t>
        </is>
      </c>
      <c r="D15" s="7" t="inlineStr">
        <is>
          <t>prob.</t>
        </is>
      </c>
      <c r="E15" s="13">
        <f>Marca!$B$9</f>
        <v/>
      </c>
      <c r="F15" s="7" t="inlineStr">
        <is>
          <t>Bernoulli</t>
        </is>
      </c>
      <c r="G15" s="7" t="inlineStr">
        <is>
          <t>p según tema y quintil de toxicidad: hoja Marca</t>
        </is>
      </c>
      <c r="H15" s="7" t="inlineStr"/>
      <c r="I15" s="7" t="inlineStr">
        <is>
          <t>propuesta</t>
        </is>
      </c>
    </row>
    <row r="16">
      <c r="A16" s="6" t="inlineStr">
        <is>
          <t>Atributo</t>
        </is>
      </c>
      <c r="B16" s="7" t="inlineStr">
        <is>
          <t>Nocivo</t>
        </is>
      </c>
      <c r="C16" s="7" t="inlineStr">
        <is>
          <t>si la impresión cuesta o rinde</t>
        </is>
      </c>
      <c r="D16" s="7" t="inlineStr">
        <is>
          <t>sí / no</t>
        </is>
      </c>
      <c r="E16" s="9" t="n"/>
      <c r="F16" s="7" t="inlineStr"/>
      <c r="G16" s="7" t="inlineStr"/>
      <c r="H16" s="7" t="inlineStr">
        <is>
          <t>tema DISARM</t>
        </is>
      </c>
      <c r="I16" s="7" t="inlineStr">
        <is>
          <t>abierta · D8</t>
        </is>
      </c>
    </row>
    <row r="17">
      <c r="A17" s="6" t="inlineStr">
        <is>
          <t>Atributo</t>
        </is>
      </c>
      <c r="B17" s="7" t="inlineStr">
        <is>
          <t>Coordinada</t>
        </is>
      </c>
      <c r="C17" s="7" t="inlineStr">
        <is>
          <t>si la cascada es de campaña</t>
        </is>
      </c>
      <c r="D17" s="7" t="inlineStr">
        <is>
          <t>sí / no</t>
        </is>
      </c>
      <c r="E17" s="9" t="n"/>
      <c r="F17" s="7" t="inlineStr">
        <is>
          <t>Bernoulli</t>
        </is>
      </c>
      <c r="G17" s="7" t="inlineStr">
        <is>
          <t>precisión y recall de la detección</t>
        </is>
      </c>
      <c r="H17" s="7" t="inlineStr">
        <is>
          <t>sufijo C2 + cuenta nueva</t>
        </is>
      </c>
      <c r="I17" s="7" t="inlineStr">
        <is>
          <t>propuesta · D11</t>
        </is>
      </c>
    </row>
    <row r="18">
      <c r="A18" s="6" t="inlineStr">
        <is>
          <t>Recurso</t>
        </is>
      </c>
      <c r="B18" s="7" t="inlineStr">
        <is>
          <t>Moderadores por turno (c)</t>
        </is>
      </c>
      <c r="C18" s="7" t="inlineStr">
        <is>
          <t>capacidad del único recurso</t>
        </is>
      </c>
      <c r="D18" s="7" t="inlineStr">
        <is>
          <t>moderadores</t>
        </is>
      </c>
      <c r="E18" s="38">
        <f>'Parámetros CSV'!$B$6</f>
        <v/>
      </c>
      <c r="F18" s="7" t="inlineStr">
        <is>
          <t>VD</t>
        </is>
      </c>
      <c r="G18" s="7" t="inlineStr">
        <is>
          <t>rango 1 – 12</t>
        </is>
      </c>
      <c r="H18" s="7" t="inlineStr"/>
      <c r="I18" s="7" t="inlineStr">
        <is>
          <t>del CSV</t>
        </is>
      </c>
    </row>
    <row r="19">
      <c r="A19" s="6" t="inlineStr">
        <is>
          <t>Actividad</t>
        </is>
      </c>
      <c r="B19" s="7" t="inlineStr">
        <is>
          <t>Tiempo de revisión</t>
        </is>
      </c>
      <c r="C19" s="7" t="inlineStr">
        <is>
          <t>atención de un ítem de moderación con k marcados</t>
        </is>
      </c>
      <c r="D19" s="7" t="inlineStr">
        <is>
          <t>seg</t>
        </is>
      </c>
      <c r="E19" s="38">
        <f>'A priori'!$C$13</f>
        <v/>
      </c>
      <c r="F19" s="7" t="inlineStr">
        <is>
          <t>Erlang</t>
        </is>
      </c>
      <c r="G19" s="7" t="inlineStr">
        <is>
          <t>k fases de ~20 s</t>
        </is>
      </c>
      <c r="H19" s="7" t="inlineStr">
        <is>
          <t>20 s = 0,12 USD ÷ 22 USD/h</t>
        </is>
      </c>
      <c r="I19" s="7" t="inlineStr">
        <is>
          <t>propuesta · D20</t>
        </is>
      </c>
    </row>
    <row r="20">
      <c r="A20" s="6" t="inlineStr">
        <is>
          <t>Cola</t>
        </is>
      </c>
      <c r="B20" s="7" t="inlineStr">
        <is>
          <t>Cola de moderación</t>
        </is>
      </c>
      <c r="C20" s="7" t="inlineStr">
        <is>
          <t>ítems marcados esperando</t>
        </is>
      </c>
      <c r="D20" s="7" t="inlineStr">
        <is>
          <t>ítems</t>
        </is>
      </c>
      <c r="E20" s="9" t="n"/>
      <c r="F20" s="7" t="inlineStr">
        <is>
          <t>FIFO</t>
        </is>
      </c>
      <c r="G20" s="7" t="inlineStr">
        <is>
          <t>prioridad como escenario</t>
        </is>
      </c>
      <c r="H20" s="7" t="inlineStr"/>
      <c r="I20" s="7" t="inlineStr">
        <is>
          <t>propuesta · D9</t>
        </is>
      </c>
    </row>
    <row r="21">
      <c r="A21" s="6" t="inlineStr">
        <is>
          <t>Evento</t>
        </is>
      </c>
      <c r="B21" s="7" t="inlineStr">
        <is>
          <t>Remoción</t>
        </is>
      </c>
      <c r="C21" s="7" t="inlineStr">
        <is>
          <t>fracción del frente que se corta</t>
        </is>
      </c>
      <c r="D21" s="7" t="inlineStr">
        <is>
          <t>fracción</t>
        </is>
      </c>
      <c r="E21" s="9" t="n"/>
      <c r="F21" s="7" t="inlineStr">
        <is>
          <t>Bernoulli por ítem</t>
        </is>
      </c>
      <c r="G21" s="7" t="inlineStr">
        <is>
          <t>más baja para verificadas</t>
        </is>
      </c>
      <c r="H21" s="7" t="inlineStr">
        <is>
          <t>frente × (1 − fracción removida)</t>
        </is>
      </c>
      <c r="I21" s="7" t="inlineStr">
        <is>
          <t>propuesta · D10</t>
        </is>
      </c>
    </row>
    <row r="22">
      <c r="A22" s="6" t="inlineStr">
        <is>
          <t>VD</t>
        </is>
      </c>
      <c r="B22" s="7" t="inlineStr">
        <is>
          <t>Límite de reenvíos: umbral</t>
        </is>
      </c>
      <c r="C22" s="7" t="inlineStr">
        <is>
          <t>a partir de qué reenvío actúa</t>
        </is>
      </c>
      <c r="D22" s="7" t="inlineStr">
        <is>
          <t>reenvíos</t>
        </is>
      </c>
      <c r="E22" s="38">
        <f>'Parámetros CSV'!$B$18</f>
        <v/>
      </c>
      <c r="F22" s="7" t="inlineStr">
        <is>
          <t>VD</t>
        </is>
      </c>
      <c r="G22" s="7" t="inlineStr">
        <is>
          <t>rango 1 – 20</t>
        </is>
      </c>
      <c r="H22" s="7" t="inlineStr"/>
      <c r="I22" s="7" t="inlineStr">
        <is>
          <t>del CSV · D13</t>
        </is>
      </c>
    </row>
    <row r="23">
      <c r="A23" s="6" t="inlineStr">
        <is>
          <t>VD</t>
        </is>
      </c>
      <c r="B23" s="7" t="inlineStr">
        <is>
          <t>Límite de reenvíos: reducción</t>
        </is>
      </c>
      <c r="C23" s="7" t="inlineStr">
        <is>
          <t>cuánto baja la descendencia</t>
        </is>
      </c>
      <c r="D23" s="7" t="inlineStr">
        <is>
          <t>fracción</t>
        </is>
      </c>
      <c r="E23" s="8">
        <f>'Parámetros CSV'!$B$17</f>
        <v/>
      </c>
      <c r="F23" s="7" t="inlineStr">
        <is>
          <t>VD</t>
        </is>
      </c>
      <c r="G23" s="7" t="inlineStr">
        <is>
          <t>rango 0 – 0,9</t>
        </is>
      </c>
      <c r="H23" s="7" t="inlineStr">
        <is>
          <t>Λ × (1 − reducción)</t>
        </is>
      </c>
      <c r="I23" s="7" t="inlineStr">
        <is>
          <t>del CSV</t>
        </is>
      </c>
    </row>
    <row r="24">
      <c r="A24" s="6" t="inlineStr">
        <is>
          <t>Parámetro</t>
        </is>
      </c>
      <c r="B24" s="7" t="inlineStr">
        <is>
          <t>Pérdida de engagement por fricción</t>
        </is>
      </c>
      <c r="C24" s="7" t="inlineStr">
        <is>
          <t>engagement legítimo perdido</t>
        </is>
      </c>
      <c r="D24" s="7" t="inlineStr">
        <is>
          <t>fracción</t>
        </is>
      </c>
      <c r="E24" s="8">
        <f>'Parámetros CSV'!$B$19</f>
        <v/>
      </c>
      <c r="F24" s="7" t="inlineStr"/>
      <c r="G24" s="7" t="inlineStr">
        <is>
          <t>rango 0,02 – 0,5</t>
        </is>
      </c>
      <c r="H24" s="7" t="inlineStr"/>
      <c r="I24" s="7" t="inlineStr">
        <is>
          <t>del CSV</t>
        </is>
      </c>
    </row>
    <row r="25">
      <c r="A25" s="6" t="inlineStr">
        <is>
          <t>VD</t>
        </is>
      </c>
      <c r="B25" s="7" t="inlineStr">
        <is>
          <t>Degradación de alcance</t>
        </is>
      </c>
      <c r="C25" s="7" t="inlineStr">
        <is>
          <t>costo por cuenta degradada</t>
        </is>
      </c>
      <c r="D25" s="7" t="inlineStr">
        <is>
          <t>USD/día</t>
        </is>
      </c>
      <c r="E25" s="38">
        <f>'Parámetros CSV'!$B$20</f>
        <v/>
      </c>
      <c r="F25" s="7" t="inlineStr">
        <is>
          <t>VD</t>
        </is>
      </c>
      <c r="G25" s="7" t="inlineStr">
        <is>
          <t>rango 20 – 600</t>
        </is>
      </c>
      <c r="H25" s="7" t="inlineStr"/>
      <c r="I25" s="7" t="inlineStr">
        <is>
          <t>del CSV · D12</t>
        </is>
      </c>
    </row>
    <row r="26">
      <c r="A26" s="6" t="inlineStr">
        <is>
          <t>VD</t>
        </is>
      </c>
      <c r="B26" s="7" t="inlineStr">
        <is>
          <t>Clasificador: precisión</t>
        </is>
      </c>
      <c r="C26" s="7" t="inlineStr">
        <is>
          <t>fracción de marcas correctas</t>
        </is>
      </c>
      <c r="D26" s="7" t="inlineStr">
        <is>
          <t>fracción</t>
        </is>
      </c>
      <c r="E26" s="8">
        <f>'Parámetros CSV'!$B$13</f>
        <v/>
      </c>
      <c r="F26" s="7" t="inlineStr">
        <is>
          <t>VD</t>
        </is>
      </c>
      <c r="G26" s="7" t="inlineStr">
        <is>
          <t>rango 0,5 – 0,95</t>
        </is>
      </c>
      <c r="H26" s="7" t="inlineStr"/>
      <c r="I26" s="7" t="inlineStr">
        <is>
          <t>del CSV</t>
        </is>
      </c>
    </row>
    <row r="27">
      <c r="A27" s="6" t="inlineStr">
        <is>
          <t>VD</t>
        </is>
      </c>
      <c r="B27" s="7" t="inlineStr">
        <is>
          <t>Clasificador: recall</t>
        </is>
      </c>
      <c r="C27" s="7" t="inlineStr">
        <is>
          <t>fracción de nocivos detectados</t>
        </is>
      </c>
      <c r="D27" s="7" t="inlineStr">
        <is>
          <t>fracción</t>
        </is>
      </c>
      <c r="E27" s="8">
        <f>'Parámetros CSV'!$B$14</f>
        <v/>
      </c>
      <c r="F27" s="7" t="inlineStr">
        <is>
          <t>VD</t>
        </is>
      </c>
      <c r="G27" s="7" t="inlineStr">
        <is>
          <t>rango 0,3 – 0,9</t>
        </is>
      </c>
      <c r="H27" s="7" t="inlineStr"/>
      <c r="I27" s="7" t="inlineStr">
        <is>
          <t>del CSV</t>
        </is>
      </c>
    </row>
    <row r="28">
      <c r="A28" s="6" t="inlineStr">
        <is>
          <t>Validación</t>
        </is>
      </c>
      <c r="B28" s="7" t="inlineStr">
        <is>
          <t>Latencia de moderación</t>
        </is>
      </c>
      <c r="C28" s="7" t="inlineStr">
        <is>
          <t>minutos hasta la acción</t>
        </is>
      </c>
      <c r="D28" s="7" t="inlineStr">
        <is>
          <t>min</t>
        </is>
      </c>
      <c r="E28" s="38">
        <f>Validación!$B$15</f>
        <v/>
      </c>
      <c r="F28" s="7" t="inlineStr"/>
      <c r="G28" s="7" t="inlineStr">
        <is>
          <t>piso 90 · p90 381</t>
        </is>
      </c>
      <c r="H28" s="7" t="inlineStr">
        <is>
          <t>salida, no entrada</t>
        </is>
      </c>
      <c r="I28" s="7" t="inlineStr">
        <is>
          <t>medido · D7</t>
        </is>
      </c>
    </row>
    <row r="29">
      <c r="A29" s="6" t="inlineStr">
        <is>
          <t>Validación</t>
        </is>
      </c>
      <c r="B29" s="7" t="inlineStr">
        <is>
          <t>SLA de moderación</t>
        </is>
      </c>
      <c r="C29" s="7" t="inlineStr">
        <is>
          <t>latencia objetivo</t>
        </is>
      </c>
      <c r="D29" s="7" t="inlineStr">
        <is>
          <t>min</t>
        </is>
      </c>
      <c r="E29" s="38">
        <f>'Parámetros CSV'!$B$21</f>
        <v/>
      </c>
      <c r="F29" s="7" t="inlineStr"/>
      <c r="G29" s="7" t="inlineStr">
        <is>
          <t>rango 30 – 720</t>
        </is>
      </c>
      <c r="H29" s="7" t="inlineStr"/>
      <c r="I29" s="7" t="inlineStr">
        <is>
          <t>del 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11" customWidth="1" min="4" max="4"/>
    <col width="11" customWidth="1" min="5" max="5"/>
    <col width="80" customWidth="1" min="6" max="6"/>
  </cols>
  <sheetData>
    <row r="1">
      <c r="A1" s="1" t="inlineStr">
        <is>
          <t>Parámetros y costos del CSV de la cátedra</t>
        </is>
      </c>
    </row>
    <row r="3">
      <c r="A3" s="5" t="inlineStr">
        <is>
          <t>Parámetro</t>
        </is>
      </c>
      <c r="B3" s="5" t="inlineStr">
        <is>
          <t>Valor base</t>
        </is>
      </c>
      <c r="C3" s="5" t="inlineStr">
        <is>
          <t>Unidad</t>
        </is>
      </c>
      <c r="D3" s="5" t="inlineStr">
        <is>
          <t>Mínimo</t>
        </is>
      </c>
      <c r="E3" s="5" t="inlineStr">
        <is>
          <t>Máximo</t>
        </is>
      </c>
      <c r="F3" s="5" t="inlineStr">
        <is>
          <t>Comentario del CSV</t>
        </is>
      </c>
    </row>
    <row r="4">
      <c r="A4" s="7" t="inlineStr">
        <is>
          <t>valor_engagement_por_impresion</t>
        </is>
      </c>
      <c r="B4" s="14" t="n">
        <v>0.0009</v>
      </c>
      <c r="C4" s="7" t="inlineStr">
        <is>
          <t>USD/impresion</t>
        </is>
      </c>
      <c r="D4" s="14" t="n">
        <v>0.0003</v>
      </c>
      <c r="E4" s="14" t="n">
        <v>0.003</v>
      </c>
      <c r="F4" s="7" t="inlineStr">
        <is>
          <t>Valor economico atribuido por impresion legitima (ingreso publicitario proxy)</t>
        </is>
      </c>
    </row>
    <row r="5">
      <c r="A5" s="7" t="inlineStr">
        <is>
          <t>costo_moderador_por_hora</t>
        </is>
      </c>
      <c r="B5" s="14" t="n">
        <v>22</v>
      </c>
      <c r="C5" s="7" t="inlineStr">
        <is>
          <t>USD/hora</t>
        </is>
      </c>
      <c r="D5" s="14" t="n">
        <v>14</v>
      </c>
      <c r="E5" s="14" t="n">
        <v>45</v>
      </c>
      <c r="F5" s="7" t="inlineStr">
        <is>
          <t>Costo cargado de un moderador de contenido humano</t>
        </is>
      </c>
    </row>
    <row r="6">
      <c r="A6" s="7" t="inlineStr">
        <is>
          <t>moderadores_por_turno</t>
        </is>
      </c>
      <c r="B6" s="14" t="n">
        <v>1</v>
      </c>
      <c r="C6" s="7" t="inlineStr">
        <is>
          <t>count</t>
        </is>
      </c>
      <c r="D6" s="14" t="n">
        <v>1</v>
      </c>
      <c r="E6" s="14" t="n">
        <v>12</v>
      </c>
      <c r="F6" s="7" t="inlineStr">
        <is>
          <t>Cantidad de moderadores simultaneos por turno evaluados</t>
        </is>
      </c>
    </row>
    <row r="7">
      <c r="A7" s="7" t="inlineStr">
        <is>
          <t>horas_operativas_mes</t>
        </is>
      </c>
      <c r="B7" s="14" t="n">
        <v>720</v>
      </c>
      <c r="C7" s="7" t="inlineStr">
        <is>
          <t>horas/mes</t>
        </is>
      </c>
      <c r="D7" s="14" t="n">
        <v>672</v>
      </c>
      <c r="E7" s="14" t="n">
        <v>744</v>
      </c>
      <c r="F7" s="7" t="inlineStr">
        <is>
          <t>Horas operativas por mes (aprox 24/7)</t>
        </is>
      </c>
    </row>
    <row r="8">
      <c r="A8" s="7" t="inlineStr">
        <is>
          <t>costo_revision_por_item_flag</t>
        </is>
      </c>
      <c r="B8" s="14" t="n">
        <v>0.12</v>
      </c>
      <c r="C8" s="7" t="inlineStr">
        <is>
          <t>USD/item</t>
        </is>
      </c>
      <c r="D8" s="14" t="n">
        <v>0.05</v>
      </c>
      <c r="E8" s="14" t="n">
        <v>0.6</v>
      </c>
      <c r="F8" s="7" t="inlineStr">
        <is>
          <t>Costo marginal de revisar un item marcado por el clasificador</t>
        </is>
      </c>
    </row>
    <row r="9">
      <c r="A9" s="7" t="inlineStr">
        <is>
          <t>capex_clasificador_ml</t>
        </is>
      </c>
      <c r="B9" s="14" t="n">
        <v>250000</v>
      </c>
      <c r="C9" s="7" t="inlineStr">
        <is>
          <t>USD</t>
        </is>
      </c>
      <c r="D9" s="14" t="n">
        <v>80000</v>
      </c>
      <c r="E9" s="14" t="n">
        <v>900000</v>
      </c>
      <c r="F9" s="7" t="inlineStr">
        <is>
          <t>Costo de desarrollar/adquirir el clasificador automatico de contenido</t>
        </is>
      </c>
    </row>
    <row r="10">
      <c r="A10" s="7" t="inlineStr">
        <is>
          <t>opex_anual_clasificador</t>
        </is>
      </c>
      <c r="B10" s="14" t="n">
        <v>60000</v>
      </c>
      <c r="C10" s="7" t="inlineStr">
        <is>
          <t>USD/year</t>
        </is>
      </c>
      <c r="D10" s="14" t="n">
        <v>20000</v>
      </c>
      <c r="E10" s="14" t="n">
        <v>180000</v>
      </c>
      <c r="F10" s="7" t="inlineStr">
        <is>
          <t>Costo anual de operacion/reentrenamiento del clasificador</t>
        </is>
      </c>
    </row>
    <row r="11">
      <c r="A11" s="7" t="inlineStr">
        <is>
          <t>vida_util_clasificador_years</t>
        </is>
      </c>
      <c r="B11" s="14" t="n">
        <v>4</v>
      </c>
      <c r="C11" s="7" t="inlineStr">
        <is>
          <t>years</t>
        </is>
      </c>
      <c r="D11" s="14" t="n">
        <v>2</v>
      </c>
      <c r="E11" s="14" t="n">
        <v>8</v>
      </c>
      <c r="F11" s="7" t="inlineStr">
        <is>
          <t>Vida util para amortizar el clasificador</t>
        </is>
      </c>
    </row>
    <row r="12">
      <c r="A12" s="7" t="inlineStr">
        <is>
          <t>discount_rate</t>
        </is>
      </c>
      <c r="B12" s="14" t="n">
        <v>0.1</v>
      </c>
      <c r="C12" s="7" t="inlineStr">
        <is>
          <t>decimal</t>
        </is>
      </c>
      <c r="D12" s="14" t="n">
        <v>0.06</v>
      </c>
      <c r="E12" s="14" t="n">
        <v>0.18</v>
      </c>
      <c r="F12" s="7" t="inlineStr">
        <is>
          <t>Tasa de descuento para NPV</t>
        </is>
      </c>
    </row>
    <row r="13">
      <c r="A13" s="7" t="inlineStr">
        <is>
          <t>precision_clasificador</t>
        </is>
      </c>
      <c r="B13" s="14" t="n">
        <v>0.72</v>
      </c>
      <c r="C13" s="7" t="inlineStr">
        <is>
          <t>fraction</t>
        </is>
      </c>
      <c r="D13" s="14" t="n">
        <v>0.5</v>
      </c>
      <c r="E13" s="14" t="n">
        <v>0.95</v>
      </c>
      <c r="F13" s="7" t="inlineStr">
        <is>
          <t>Precision del clasificador (fraccion de flags correctos)</t>
        </is>
      </c>
    </row>
    <row r="14">
      <c r="A14" s="7" t="inlineStr">
        <is>
          <t>recall_clasificador</t>
        </is>
      </c>
      <c r="B14" s="14" t="n">
        <v>0.63</v>
      </c>
      <c r="C14" s="7" t="inlineStr">
        <is>
          <t>fraction</t>
        </is>
      </c>
      <c r="D14" s="14" t="n">
        <v>0.3</v>
      </c>
      <c r="E14" s="14" t="n">
        <v>0.9</v>
      </c>
      <c r="F14" s="7" t="inlineStr">
        <is>
          <t>Recall del clasificador (fraccion de nocivos detectados)</t>
        </is>
      </c>
    </row>
    <row r="15">
      <c r="A15" s="7" t="inlineStr">
        <is>
          <t>costo_reputacional_por_falso_positivo</t>
        </is>
      </c>
      <c r="B15" s="14" t="n">
        <v>1.5</v>
      </c>
      <c r="C15" s="7" t="inlineStr">
        <is>
          <t>USD/item</t>
        </is>
      </c>
      <c r="D15" s="14" t="n">
        <v>0.2</v>
      </c>
      <c r="E15" s="14" t="n">
        <v>10</v>
      </c>
      <c r="F15" s="7" t="inlineStr">
        <is>
          <t>Costo de moderar de mas contenido legitimo (usuarios molestos, apelaciones)</t>
        </is>
      </c>
    </row>
    <row r="16">
      <c r="A16" s="7" t="inlineStr">
        <is>
          <t>costo_social_por_impresion_nociva</t>
        </is>
      </c>
      <c r="B16" s="14" t="n">
        <v>0.004</v>
      </c>
      <c r="C16" s="7" t="inlineStr">
        <is>
          <t>USD/impresion</t>
        </is>
      </c>
      <c r="D16" s="14" t="n">
        <v>0.001</v>
      </c>
      <c r="E16" s="14" t="n">
        <v>0.05</v>
      </c>
      <c r="F16" s="7" t="inlineStr">
        <is>
          <t>Externalidad estimada por impresion de contenido nocivo no contenido</t>
        </is>
      </c>
    </row>
    <row r="17">
      <c r="A17" s="7" t="inlineStr">
        <is>
          <t>reduccion_alcance_rate_limit</t>
        </is>
      </c>
      <c r="B17" s="14" t="n">
        <v>0</v>
      </c>
      <c r="C17" s="7" t="inlineStr">
        <is>
          <t>fraction</t>
        </is>
      </c>
      <c r="D17" s="14" t="n">
        <v>0</v>
      </c>
      <c r="E17" s="14" t="n">
        <v>0.9</v>
      </c>
      <c r="F17" s="7" t="inlineStr">
        <is>
          <t>Fraccion de reduccion de alcance por reenvio limitado (a definir por escenario)</t>
        </is>
      </c>
    </row>
    <row r="18">
      <c r="A18" s="7" t="inlineStr">
        <is>
          <t>umbral_reenvios_rate_limit</t>
        </is>
      </c>
      <c r="B18" s="14" t="n">
        <v>5</v>
      </c>
      <c r="C18" s="7" t="inlineStr">
        <is>
          <t>count</t>
        </is>
      </c>
      <c r="D18" s="14" t="n">
        <v>1</v>
      </c>
      <c r="E18" s="14" t="n">
        <v>20</v>
      </c>
      <c r="F18" s="7" t="inlineStr">
        <is>
          <t>N de reenvios tras el cual se aplica friccion (estilo limite de reenvios)</t>
        </is>
      </c>
    </row>
    <row r="19">
      <c r="A19" s="7" t="inlineStr">
        <is>
          <t>perdida_engagement_por_rate_limit</t>
        </is>
      </c>
      <c r="B19" s="14" t="n">
        <v>0.15</v>
      </c>
      <c r="C19" s="7" t="inlineStr">
        <is>
          <t>fraction</t>
        </is>
      </c>
      <c r="D19" s="14" t="n">
        <v>0.02</v>
      </c>
      <c r="E19" s="14" t="n">
        <v>0.5</v>
      </c>
      <c r="F19" s="7" t="inlineStr">
        <is>
          <t>Fraccion de engagement legitimo perdido al aplicar rate-limiting</t>
        </is>
      </c>
    </row>
    <row r="20">
      <c r="A20" s="7" t="inlineStr">
        <is>
          <t>costo_degradar_influencer_por_dia</t>
        </is>
      </c>
      <c r="B20" s="14" t="n">
        <v>120</v>
      </c>
      <c r="C20" s="7" t="inlineStr">
        <is>
          <t>USD/day</t>
        </is>
      </c>
      <c r="D20" s="14" t="n">
        <v>20</v>
      </c>
      <c r="E20" s="14" t="n">
        <v>600</v>
      </c>
      <c r="F20" s="7" t="inlineStr">
        <is>
          <t>Costo reputacional/contractual diario de degradar alcance de una cuenta grande</t>
        </is>
      </c>
    </row>
    <row r="21">
      <c r="A21" s="7" t="inlineStr">
        <is>
          <t>latencia_objetivo_moderacion_min</t>
        </is>
      </c>
      <c r="B21" s="14" t="n">
        <v>120</v>
      </c>
      <c r="C21" s="7" t="inlineStr">
        <is>
          <t>min</t>
        </is>
      </c>
      <c r="D21" s="14" t="n">
        <v>30</v>
      </c>
      <c r="E21" s="14" t="n">
        <v>720</v>
      </c>
      <c r="F21" s="7" t="inlineStr">
        <is>
          <t>Latencia objetivo (SLA) para actuar sobre un item nocivo</t>
        </is>
      </c>
    </row>
    <row r="22">
      <c r="A22" s="7" t="inlineStr">
        <is>
          <t>valor_marca_por_usuario_activo</t>
        </is>
      </c>
      <c r="B22" s="14" t="n">
        <v>3.2</v>
      </c>
      <c r="C22" s="7" t="inlineStr">
        <is>
          <t>USD/user·month</t>
        </is>
      </c>
      <c r="D22" s="14" t="n">
        <v>1</v>
      </c>
      <c r="E22" s="14" t="n">
        <v>12</v>
      </c>
      <c r="F22" s="7" t="inlineStr">
        <is>
          <t>Valor de marca por usuario activo mensual (para costo de churn)</t>
        </is>
      </c>
    </row>
    <row r="23">
      <c r="A23" s="7" t="inlineStr">
        <is>
          <t>tasa_churn_por_exposicion_nociva</t>
        </is>
      </c>
      <c r="B23" s="14" t="n">
        <v>0.0005999999999999999</v>
      </c>
      <c r="C23" s="7" t="inlineStr">
        <is>
          <t>fraction</t>
        </is>
      </c>
      <c r="D23" s="14" t="n">
        <v>0.0001</v>
      </c>
      <c r="E23" s="14" t="n">
        <v>0.004</v>
      </c>
      <c r="F23" s="7" t="inlineStr">
        <is>
          <t>Incremento de churn por exposicion a contenido nocivo no moderado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</cols>
  <sheetData>
    <row r="1">
      <c r="A1" s="1" t="inlineStr">
        <is>
          <t>Llegadas de rumores (semillas)</t>
        </is>
      </c>
    </row>
    <row r="2">
      <c r="A2" s="4" t="inlineStr">
        <is>
          <t>Días que cubre la muestra en C3. La tasa es una fórmula: semillas en esa hora ÷ días.</t>
        </is>
      </c>
    </row>
    <row r="3">
      <c r="A3" s="2" t="inlineStr">
        <is>
          <t>Días de la muestra</t>
        </is>
      </c>
      <c r="C3" s="15" t="n">
        <v>180</v>
      </c>
    </row>
    <row r="5">
      <c r="A5" s="5" t="inlineStr">
        <is>
          <t>Hora del día</t>
        </is>
      </c>
      <c r="B5" s="5" t="inlineStr">
        <is>
          <t>Semillas en la muestra</t>
        </is>
      </c>
      <c r="C5" s="5" t="inlineStr">
        <is>
          <t>Tasa (semillas por hora)</t>
        </is>
      </c>
    </row>
    <row r="6">
      <c r="A6" s="7" t="inlineStr">
        <is>
          <t>00:00</t>
        </is>
      </c>
      <c r="B6" s="16" t="n">
        <v>118</v>
      </c>
      <c r="C6" s="9">
        <f>B6/$C$3</f>
        <v/>
      </c>
    </row>
    <row r="7">
      <c r="A7" s="7" t="inlineStr">
        <is>
          <t>01:00</t>
        </is>
      </c>
      <c r="B7" s="16" t="n">
        <v>110</v>
      </c>
      <c r="C7" s="9">
        <f>B7/$C$3</f>
        <v/>
      </c>
    </row>
    <row r="8">
      <c r="A8" s="7" t="inlineStr">
        <is>
          <t>02:00</t>
        </is>
      </c>
      <c r="B8" s="16" t="n">
        <v>98</v>
      </c>
      <c r="C8" s="9">
        <f>B8/$C$3</f>
        <v/>
      </c>
    </row>
    <row r="9">
      <c r="A9" s="7" t="inlineStr">
        <is>
          <t>03:00</t>
        </is>
      </c>
      <c r="B9" s="16" t="n">
        <v>91</v>
      </c>
      <c r="C9" s="9">
        <f>B9/$C$3</f>
        <v/>
      </c>
    </row>
    <row r="10">
      <c r="A10" s="7" t="inlineStr">
        <is>
          <t>04:00</t>
        </is>
      </c>
      <c r="B10" s="16" t="n">
        <v>116</v>
      </c>
      <c r="C10" s="9">
        <f>B10/$C$3</f>
        <v/>
      </c>
    </row>
    <row r="11">
      <c r="A11" s="7" t="inlineStr">
        <is>
          <t>05:00</t>
        </is>
      </c>
      <c r="B11" s="16" t="n">
        <v>122</v>
      </c>
      <c r="C11" s="9">
        <f>B11/$C$3</f>
        <v/>
      </c>
    </row>
    <row r="12">
      <c r="A12" s="7" t="inlineStr">
        <is>
          <t>06:00</t>
        </is>
      </c>
      <c r="B12" s="16" t="n">
        <v>167</v>
      </c>
      <c r="C12" s="9">
        <f>B12/$C$3</f>
        <v/>
      </c>
    </row>
    <row r="13">
      <c r="A13" s="7" t="inlineStr">
        <is>
          <t>07:00</t>
        </is>
      </c>
      <c r="B13" s="16" t="n">
        <v>209</v>
      </c>
      <c r="C13" s="9">
        <f>B13/$C$3</f>
        <v/>
      </c>
    </row>
    <row r="14">
      <c r="A14" s="7" t="inlineStr">
        <is>
          <t>08:00</t>
        </is>
      </c>
      <c r="B14" s="16" t="n">
        <v>221</v>
      </c>
      <c r="C14" s="9">
        <f>B14/$C$3</f>
        <v/>
      </c>
    </row>
    <row r="15">
      <c r="A15" s="7" t="inlineStr">
        <is>
          <t>09:00</t>
        </is>
      </c>
      <c r="B15" s="16" t="n">
        <v>214</v>
      </c>
      <c r="C15" s="9">
        <f>B15/$C$3</f>
        <v/>
      </c>
    </row>
    <row r="16">
      <c r="A16" s="7" t="inlineStr">
        <is>
          <t>10:00</t>
        </is>
      </c>
      <c r="B16" s="16" t="n">
        <v>290</v>
      </c>
      <c r="C16" s="9">
        <f>B16/$C$3</f>
        <v/>
      </c>
    </row>
    <row r="17">
      <c r="A17" s="7" t="inlineStr">
        <is>
          <t>11:00</t>
        </is>
      </c>
      <c r="B17" s="16" t="n">
        <v>279</v>
      </c>
      <c r="C17" s="9">
        <f>B17/$C$3</f>
        <v/>
      </c>
    </row>
    <row r="18">
      <c r="A18" s="7" t="inlineStr">
        <is>
          <t>12:00</t>
        </is>
      </c>
      <c r="B18" s="16" t="n">
        <v>244</v>
      </c>
      <c r="C18" s="9">
        <f>B18/$C$3</f>
        <v/>
      </c>
    </row>
    <row r="19">
      <c r="A19" s="7" t="inlineStr">
        <is>
          <t>13:00</t>
        </is>
      </c>
      <c r="B19" s="16" t="n">
        <v>271</v>
      </c>
      <c r="C19" s="9">
        <f>B19/$C$3</f>
        <v/>
      </c>
    </row>
    <row r="20">
      <c r="A20" s="7" t="inlineStr">
        <is>
          <t>14:00</t>
        </is>
      </c>
      <c r="B20" s="16" t="n">
        <v>277</v>
      </c>
      <c r="C20" s="9">
        <f>B20/$C$3</f>
        <v/>
      </c>
    </row>
    <row r="21">
      <c r="A21" s="7" t="inlineStr">
        <is>
          <t>15:00</t>
        </is>
      </c>
      <c r="B21" s="16" t="n">
        <v>245</v>
      </c>
      <c r="C21" s="9">
        <f>B21/$C$3</f>
        <v/>
      </c>
    </row>
    <row r="22">
      <c r="A22" s="7" t="inlineStr">
        <is>
          <t>16:00</t>
        </is>
      </c>
      <c r="B22" s="16" t="n">
        <v>226</v>
      </c>
      <c r="C22" s="9">
        <f>B22/$C$3</f>
        <v/>
      </c>
    </row>
    <row r="23">
      <c r="A23" s="7" t="inlineStr">
        <is>
          <t>17:00</t>
        </is>
      </c>
      <c r="B23" s="16" t="n">
        <v>292</v>
      </c>
      <c r="C23" s="9">
        <f>B23/$C$3</f>
        <v/>
      </c>
    </row>
    <row r="24">
      <c r="A24" s="7" t="inlineStr">
        <is>
          <t>18:00</t>
        </is>
      </c>
      <c r="B24" s="16" t="n">
        <v>276</v>
      </c>
      <c r="C24" s="9">
        <f>B24/$C$3</f>
        <v/>
      </c>
    </row>
    <row r="25">
      <c r="A25" s="7" t="inlineStr">
        <is>
          <t>19:00</t>
        </is>
      </c>
      <c r="B25" s="16" t="n">
        <v>284</v>
      </c>
      <c r="C25" s="9">
        <f>B25/$C$3</f>
        <v/>
      </c>
    </row>
    <row r="26">
      <c r="A26" s="7" t="inlineStr">
        <is>
          <t>20:00</t>
        </is>
      </c>
      <c r="B26" s="16" t="n">
        <v>258</v>
      </c>
      <c r="C26" s="9">
        <f>B26/$C$3</f>
        <v/>
      </c>
    </row>
    <row r="27">
      <c r="A27" s="7" t="inlineStr">
        <is>
          <t>21:00</t>
        </is>
      </c>
      <c r="B27" s="16" t="n">
        <v>231</v>
      </c>
      <c r="C27" s="9">
        <f>B27/$C$3</f>
        <v/>
      </c>
    </row>
    <row r="28">
      <c r="A28" s="7" t="inlineStr">
        <is>
          <t>22:00</t>
        </is>
      </c>
      <c r="B28" s="16" t="n">
        <v>190</v>
      </c>
      <c r="C28" s="9">
        <f>B28/$C$3</f>
        <v/>
      </c>
    </row>
    <row r="29">
      <c r="A29" s="7" t="inlineStr">
        <is>
          <t>23:00</t>
        </is>
      </c>
      <c r="B29" s="16" t="n">
        <v>171</v>
      </c>
      <c r="C29" s="9">
        <f>B29/$C$3</f>
        <v/>
      </c>
    </row>
    <row r="30">
      <c r="A30" s="6" t="inlineStr">
        <is>
          <t>Total</t>
        </is>
      </c>
      <c r="B30" s="17">
        <f>SUM(B6:B29)</f>
        <v/>
      </c>
      <c r="C30" s="18">
        <f>B30/$C$3/24</f>
        <v/>
      </c>
    </row>
    <row r="31">
      <c r="A31" s="4" t="inlineStr">
        <is>
          <t>La tasa del total es el promedio por hora a lo largo del día.</t>
        </is>
      </c>
    </row>
    <row r="32">
      <c r="A32" s="2" t="inlineStr">
        <is>
          <t>Por día de la semana</t>
        </is>
      </c>
    </row>
    <row r="33">
      <c r="A33" s="19" t="inlineStr">
        <is>
          <t>Día</t>
        </is>
      </c>
      <c r="B33" s="19" t="inlineStr">
        <is>
          <t>Semillas en la muestra</t>
        </is>
      </c>
      <c r="C33" s="19" t="inlineStr">
        <is>
          <t>Semillas por día</t>
        </is>
      </c>
    </row>
    <row r="34">
      <c r="A34" s="7" t="inlineStr">
        <is>
          <t>lunes</t>
        </is>
      </c>
      <c r="B34" s="16" t="n">
        <v>714</v>
      </c>
      <c r="C34" s="40">
        <f>B34/($C$3/7)</f>
        <v/>
      </c>
    </row>
    <row r="35">
      <c r="A35" s="7" t="inlineStr">
        <is>
          <t>martes</t>
        </is>
      </c>
      <c r="B35" s="16" t="n">
        <v>675</v>
      </c>
      <c r="C35" s="40">
        <f>B35/($C$3/7)</f>
        <v/>
      </c>
    </row>
    <row r="36">
      <c r="A36" s="7" t="inlineStr">
        <is>
          <t>miércoles</t>
        </is>
      </c>
      <c r="B36" s="16" t="n">
        <v>696</v>
      </c>
      <c r="C36" s="40">
        <f>B36/($C$3/7)</f>
        <v/>
      </c>
    </row>
    <row r="37">
      <c r="A37" s="7" t="inlineStr">
        <is>
          <t>jueves</t>
        </is>
      </c>
      <c r="B37" s="16" t="n">
        <v>626</v>
      </c>
      <c r="C37" s="40">
        <f>B37/($C$3/7)</f>
        <v/>
      </c>
    </row>
    <row r="38">
      <c r="A38" s="7" t="inlineStr">
        <is>
          <t>viernes</t>
        </is>
      </c>
      <c r="B38" s="16" t="n">
        <v>670</v>
      </c>
      <c r="C38" s="40">
        <f>B38/($C$3/7)</f>
        <v/>
      </c>
    </row>
    <row r="39">
      <c r="A39" s="7" t="inlineStr">
        <is>
          <t>sábado</t>
        </is>
      </c>
      <c r="B39" s="16" t="n">
        <v>813</v>
      </c>
      <c r="C39" s="40">
        <f>B39/($C$3/7)</f>
        <v/>
      </c>
    </row>
    <row r="40">
      <c r="A40" s="7" t="inlineStr">
        <is>
          <t>domingo</t>
        </is>
      </c>
      <c r="B40" s="16" t="n">
        <v>806</v>
      </c>
      <c r="C40" s="40">
        <f>B40/($C$3/7)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22" customWidth="1" min="8" max="8"/>
  </cols>
  <sheetData>
    <row r="1">
      <c r="A1" s="1" t="inlineStr">
        <is>
          <t>Tipos de cuenta</t>
        </is>
      </c>
    </row>
    <row r="2">
      <c r="A2" s="4" t="inlineStr">
        <is>
          <t>R = hijos medios por evento (reshare_count_from_actor), sin las 14 cascadas truncadas.</t>
        </is>
      </c>
    </row>
    <row r="3">
      <c r="A3" s="5" t="inlineStr">
        <is>
          <t>Tipo</t>
        </is>
      </c>
      <c r="B3" s="5" t="inlineStr">
        <is>
          <t>% de las semillas</t>
        </is>
      </c>
      <c r="C3" s="5" t="inlineStr">
        <is>
          <t>% de los reenvíos</t>
        </is>
      </c>
      <c r="D3" s="5" t="inlineStr">
        <is>
          <t>Hijos medios (R)</t>
        </is>
      </c>
      <c r="E3" s="5" t="inlineStr">
        <is>
          <t>Seguidores: p10</t>
        </is>
      </c>
      <c r="F3" s="5" t="inlineStr">
        <is>
          <t>Seguidores: mediana</t>
        </is>
      </c>
      <c r="G3" s="5" t="inlineStr">
        <is>
          <t>Seguidores: p90</t>
        </is>
      </c>
      <c r="H3" s="5" t="inlineStr">
        <is>
          <t>Impresiones esperadas (mediana)</t>
        </is>
      </c>
    </row>
    <row r="4">
      <c r="A4" s="6" t="inlineStr">
        <is>
          <t>BROADCASTER</t>
        </is>
      </c>
      <c r="B4" s="21" t="n">
        <v>0.1198</v>
      </c>
      <c r="C4" s="21" t="n">
        <v>0.0368</v>
      </c>
      <c r="D4" s="22" t="n">
        <v>4.444</v>
      </c>
      <c r="E4" s="16" t="n">
        <v>233582</v>
      </c>
      <c r="F4" s="16" t="n">
        <v>422345</v>
      </c>
      <c r="G4" s="16" t="n">
        <v>1100000</v>
      </c>
      <c r="H4" s="23">
        <f>F4*'A priori'!$C$5</f>
        <v/>
      </c>
    </row>
    <row r="5">
      <c r="A5" s="6" t="inlineStr">
        <is>
          <t>CREATOR</t>
        </is>
      </c>
      <c r="B5" s="21" t="n">
        <v>0.1654</v>
      </c>
      <c r="C5" s="21" t="n">
        <v>0.06320000000000001</v>
      </c>
      <c r="D5" s="22" t="n">
        <v>3.525</v>
      </c>
      <c r="E5" s="16" t="n">
        <v>58122</v>
      </c>
      <c r="F5" s="16" t="n">
        <v>101192</v>
      </c>
      <c r="G5" s="16" t="n">
        <v>182000</v>
      </c>
      <c r="H5" s="23">
        <f>F5*'A priori'!$C$5</f>
        <v/>
      </c>
    </row>
    <row r="6">
      <c r="A6" s="6" t="inlineStr">
        <is>
          <t>AGGREGATOR</t>
        </is>
      </c>
      <c r="B6" s="21" t="n">
        <v>0.1774</v>
      </c>
      <c r="C6" s="21" t="n">
        <v>0.2198</v>
      </c>
      <c r="D6" s="22" t="n">
        <v>0.58</v>
      </c>
      <c r="E6" s="16" t="n">
        <v>315</v>
      </c>
      <c r="F6" s="16" t="n">
        <v>410</v>
      </c>
      <c r="G6" s="16" t="n">
        <v>1118</v>
      </c>
      <c r="H6" s="23">
        <f>F6*'A priori'!$C$5</f>
        <v/>
      </c>
    </row>
    <row r="7">
      <c r="A7" s="6" t="inlineStr">
        <is>
          <t>LURKER</t>
        </is>
      </c>
      <c r="B7" s="21" t="n">
        <v>0.1478</v>
      </c>
      <c r="C7" s="21" t="n">
        <v>0.1919</v>
      </c>
      <c r="D7" s="22" t="n">
        <v>0.587</v>
      </c>
      <c r="E7" s="16" t="n">
        <v>320</v>
      </c>
      <c r="F7" s="16" t="n">
        <v>410</v>
      </c>
      <c r="G7" s="16" t="n">
        <v>1131</v>
      </c>
      <c r="H7" s="23">
        <f>F7*'A priori'!$C$5</f>
        <v/>
      </c>
    </row>
    <row r="8">
      <c r="A8" s="6" t="inlineStr">
        <is>
          <t>STANDARD</t>
        </is>
      </c>
      <c r="B8" s="21" t="n">
        <v>0.3896</v>
      </c>
      <c r="C8" s="21" t="n">
        <v>0.4882</v>
      </c>
      <c r="D8" s="22" t="n">
        <v>0.591</v>
      </c>
      <c r="E8" s="16" t="n">
        <v>315</v>
      </c>
      <c r="F8" s="16" t="n">
        <v>416</v>
      </c>
      <c r="G8" s="16" t="n">
        <v>1100</v>
      </c>
      <c r="H8" s="23">
        <f>F8*'A priori'!$C$5</f>
        <v/>
      </c>
    </row>
    <row r="9">
      <c r="A9" s="6" t="inlineStr">
        <is>
          <t>Total</t>
        </is>
      </c>
      <c r="B9" s="24">
        <f>SUM(B4:B8)</f>
        <v/>
      </c>
      <c r="C9" s="24">
        <f>SUM(C4:C8)</f>
        <v/>
      </c>
      <c r="D9" s="41">
        <f>SUMPRODUCT(C4:C8,D4:D8)</f>
        <v/>
      </c>
      <c r="E9" s="7" t="n"/>
      <c r="F9" s="7" t="n"/>
      <c r="G9" s="7" t="n"/>
      <c r="H9" s="7" t="n"/>
    </row>
    <row r="10">
      <c r="A10" s="4" t="inlineStr">
        <is>
          <t>El R total (D9) es el promedio ponderado por la mezcla de reenvíos. Tiene que dar cerca de 0,916.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</cols>
  <sheetData>
    <row r="1">
      <c r="A1" s="1" t="inlineStr">
        <is>
          <t>Hijos medios por generación</t>
        </is>
      </c>
    </row>
    <row r="2">
      <c r="A2" s="4" t="inlineStr">
        <is>
          <t>El decaimiento δ(g) sale de acá. Cómo se normaliza queda para el grupo (D18). La generación 0 es la semilla y tiene más BROADCASTER.</t>
        </is>
      </c>
    </row>
    <row r="3">
      <c r="A3" s="5" t="inlineStr">
        <is>
          <t>Generación g</t>
        </is>
      </c>
      <c r="B3" s="5" t="inlineStr">
        <is>
          <t>Eventos</t>
        </is>
      </c>
      <c r="C3" s="5" t="inlineStr">
        <is>
          <t>Hijos medios</t>
        </is>
      </c>
      <c r="D3" s="5" t="inlineStr">
        <is>
          <t>Relativo a g = 1</t>
        </is>
      </c>
    </row>
    <row r="4">
      <c r="A4" s="26" t="n">
        <v>0</v>
      </c>
      <c r="B4" s="16" t="n">
        <v>4986</v>
      </c>
      <c r="C4" s="42" t="n">
        <v>2.346</v>
      </c>
      <c r="D4" s="9">
        <f>C4/$C$5</f>
        <v/>
      </c>
    </row>
    <row r="5">
      <c r="A5" s="26" t="n">
        <v>1</v>
      </c>
      <c r="B5" s="16" t="n">
        <v>11697</v>
      </c>
      <c r="C5" s="42" t="n">
        <v>1.005</v>
      </c>
      <c r="D5" s="9">
        <f>C5/$C$5</f>
        <v/>
      </c>
    </row>
    <row r="6">
      <c r="A6" s="26" t="n">
        <v>2</v>
      </c>
      <c r="B6" s="16" t="n">
        <v>11755</v>
      </c>
      <c r="C6" s="42" t="n">
        <v>0.848</v>
      </c>
      <c r="D6" s="9">
        <f>C6/$C$5</f>
        <v/>
      </c>
    </row>
    <row r="7">
      <c r="A7" s="26" t="n">
        <v>3</v>
      </c>
      <c r="B7" s="16" t="n">
        <v>9963</v>
      </c>
      <c r="C7" s="42" t="n">
        <v>0.777</v>
      </c>
      <c r="D7" s="9">
        <f>C7/$C$5</f>
        <v/>
      </c>
    </row>
    <row r="8">
      <c r="A8" s="26" t="n">
        <v>4</v>
      </c>
      <c r="B8" s="16" t="n">
        <v>7743</v>
      </c>
      <c r="C8" s="42" t="n">
        <v>0.676</v>
      </c>
      <c r="D8" s="9">
        <f>C8/$C$5</f>
        <v/>
      </c>
    </row>
    <row r="9">
      <c r="A9" s="26" t="n">
        <v>5</v>
      </c>
      <c r="B9" s="16" t="n">
        <v>5238</v>
      </c>
      <c r="C9" s="42" t="n">
        <v>0.643</v>
      </c>
      <c r="D9" s="9">
        <f>C9/$C$5</f>
        <v/>
      </c>
    </row>
    <row r="10">
      <c r="A10" s="26" t="n">
        <v>6</v>
      </c>
      <c r="B10" s="16" t="n">
        <v>3370</v>
      </c>
      <c r="C10" s="42" t="n">
        <v>0.628</v>
      </c>
      <c r="D10" s="9">
        <f>C10/$C$5</f>
        <v/>
      </c>
    </row>
    <row r="11">
      <c r="A11" s="26" t="n">
        <v>7</v>
      </c>
      <c r="B11" s="16" t="n">
        <v>2116</v>
      </c>
      <c r="C11" s="42" t="n">
        <v>0.554</v>
      </c>
      <c r="D11" s="9">
        <f>C11/$C$5</f>
        <v/>
      </c>
    </row>
    <row r="12">
      <c r="A12" s="26" t="n">
        <v>8</v>
      </c>
      <c r="B12" s="16" t="n">
        <v>1173</v>
      </c>
      <c r="C12" s="42" t="n">
        <v>0.491</v>
      </c>
      <c r="D12" s="9">
        <f>C12/$C$5</f>
        <v/>
      </c>
    </row>
    <row r="13">
      <c r="A13" s="26" t="n">
        <v>9</v>
      </c>
      <c r="B13" s="16" t="n">
        <v>576</v>
      </c>
      <c r="C13" s="42" t="n">
        <v>0.439</v>
      </c>
      <c r="D13" s="9">
        <f>C13/$C$5</f>
        <v/>
      </c>
    </row>
    <row r="14">
      <c r="A14" s="26" t="n">
        <v>10</v>
      </c>
      <c r="B14" s="16" t="n">
        <v>253</v>
      </c>
      <c r="C14" s="42" t="n">
        <v>0.387</v>
      </c>
      <c r="D14" s="9">
        <f>C14/$C$5</f>
        <v/>
      </c>
    </row>
    <row r="15">
      <c r="A15" s="26" t="n">
        <v>11</v>
      </c>
      <c r="B15" s="16" t="n">
        <v>98</v>
      </c>
      <c r="C15" s="42" t="n">
        <v>0.367</v>
      </c>
      <c r="D15" s="9">
        <f>C15/$C$5</f>
        <v/>
      </c>
    </row>
    <row r="16">
      <c r="A16" s="26" t="n">
        <v>12</v>
      </c>
      <c r="B16" s="16" t="n">
        <v>36</v>
      </c>
      <c r="C16" s="42" t="n">
        <v>0.306</v>
      </c>
      <c r="D16" s="9">
        <f>C16/$C$5</f>
        <v/>
      </c>
    </row>
    <row r="17">
      <c r="A17" s="26" t="n">
        <v>13</v>
      </c>
      <c r="B17" s="16" t="n">
        <v>11</v>
      </c>
      <c r="C17" s="42" t="n">
        <v>0.273</v>
      </c>
      <c r="D17" s="9">
        <f>C17/$C$5</f>
        <v/>
      </c>
    </row>
    <row r="18">
      <c r="A18" s="26" t="n">
        <v>14</v>
      </c>
      <c r="B18" s="16" t="n">
        <v>3</v>
      </c>
      <c r="C18" s="42" t="n">
        <v>1</v>
      </c>
      <c r="D18" s="9">
        <f>C18/$C$5</f>
        <v/>
      </c>
    </row>
    <row r="19">
      <c r="A19" s="26" t="n">
        <v>15</v>
      </c>
      <c r="B19" s="16" t="n">
        <v>3</v>
      </c>
      <c r="C19" s="42" t="n">
        <v>0</v>
      </c>
      <c r="D19" s="9">
        <f>C19/$C$5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Probabilidad de marca de Centinela</t>
        </is>
      </c>
    </row>
    <row r="2">
      <c r="A2" s="4" t="inlineStr">
        <is>
          <t>Fracción de eventos con moderation_flag = 1, por grupo de tema y quintil de toxicity_index. Nocivo = DISARM es la hipótesis de D8.</t>
        </is>
      </c>
    </row>
    <row r="3">
      <c r="A3" s="5" t="inlineStr">
        <is>
          <t>Grupo de tema</t>
        </is>
      </c>
      <c r="B3" s="5" t="inlineStr">
        <is>
          <t>Q1</t>
        </is>
      </c>
      <c r="C3" s="5" t="inlineStr">
        <is>
          <t>Q2</t>
        </is>
      </c>
      <c r="D3" s="5" t="inlineStr">
        <is>
          <t>Q3</t>
        </is>
      </c>
      <c r="E3" s="5" t="inlineStr">
        <is>
          <t>Q4</t>
        </is>
      </c>
      <c r="F3" s="5" t="inlineStr">
        <is>
          <t>Q5</t>
        </is>
      </c>
      <c r="G3" s="5" t="inlineStr">
        <is>
          <t>Total del grupo</t>
        </is>
      </c>
    </row>
    <row r="4">
      <c r="A4" s="6" t="inlineStr">
        <is>
          <t>DISARM</t>
        </is>
      </c>
      <c r="B4" s="21" t="n">
        <v>0.204</v>
      </c>
      <c r="C4" s="21" t="n">
        <v>0.249</v>
      </c>
      <c r="D4" s="21" t="n">
        <v>0.302</v>
      </c>
      <c r="E4" s="21" t="n">
        <v>0.343</v>
      </c>
      <c r="F4" s="21" t="n">
        <v>0.4</v>
      </c>
      <c r="G4" s="21" t="n">
        <v>0.328</v>
      </c>
    </row>
    <row r="5">
      <c r="A5" s="6" t="inlineStr">
        <is>
          <t>ORG</t>
        </is>
      </c>
      <c r="B5" s="21" t="n">
        <v>0.091</v>
      </c>
      <c r="C5" s="21" t="n">
        <v>0.128</v>
      </c>
      <c r="D5" s="21" t="n">
        <v>0.173</v>
      </c>
      <c r="E5" s="21" t="n">
        <v>0.211</v>
      </c>
      <c r="F5" s="21" t="n">
        <v>0.26</v>
      </c>
      <c r="G5" s="21" t="n">
        <v>0.156</v>
      </c>
    </row>
    <row r="6">
      <c r="A6" s="28" t="inlineStr">
        <is>
          <t>Toxicidad del quintil</t>
        </is>
      </c>
      <c r="B6" s="28" t="inlineStr">
        <is>
          <t>0.000 – 0.170</t>
        </is>
      </c>
      <c r="C6" s="28" t="inlineStr">
        <is>
          <t>0.170 – 0.284</t>
        </is>
      </c>
      <c r="D6" s="28" t="inlineStr">
        <is>
          <t>0.284 – 0.393</t>
        </is>
      </c>
      <c r="E6" s="28" t="inlineStr">
        <is>
          <t>0.393 – 0.523</t>
        </is>
      </c>
      <c r="F6" s="28" t="inlineStr">
        <is>
          <t>0.523 – 1.000</t>
        </is>
      </c>
      <c r="G6" s="28" t="n"/>
    </row>
    <row r="8">
      <c r="A8" s="6" t="inlineStr">
        <is>
          <t>Marcados en la muestra</t>
        </is>
      </c>
      <c r="B8" s="16" t="n">
        <v>15445</v>
      </c>
      <c r="C8" s="7" t="n"/>
      <c r="D8" s="7" t="n"/>
      <c r="E8" s="7" t="n"/>
      <c r="F8" s="7" t="n"/>
      <c r="G8" s="7" t="n"/>
    </row>
    <row r="9">
      <c r="A9" s="6" t="inlineStr">
        <is>
          <t>Fracción marcada</t>
        </is>
      </c>
      <c r="B9" s="21" t="n">
        <v>0.225</v>
      </c>
      <c r="C9" s="7" t="n"/>
      <c r="D9" s="7" t="n"/>
      <c r="E9" s="7" t="n"/>
      <c r="F9" s="7" t="n"/>
      <c r="G9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0" customWidth="1" min="4" max="4"/>
    <col width="60" customWidth="1" min="5" max="5"/>
  </cols>
  <sheetData>
    <row r="1">
      <c r="A1" s="1" t="inlineStr">
        <is>
          <t>Tiempo entre generaciones (inter_event_time_min &gt; 0)</t>
        </is>
      </c>
    </row>
    <row r="2">
      <c r="A2" s="4" t="inlineStr">
        <is>
          <t>60.754 tiempos. Con tantos datos ninguna pasa el test de KS: importa cuál se acerca más. Falta repetirlo con el Input Analyzer.</t>
        </is>
      </c>
    </row>
    <row r="3">
      <c r="A3" s="5" t="inlineStr">
        <is>
          <t>Distribución</t>
        </is>
      </c>
      <c r="B3" s="5" t="inlineStr">
        <is>
          <t>Parámetro 1</t>
        </is>
      </c>
      <c r="C3" s="5" t="inlineStr">
        <is>
          <t>Parámetro 2</t>
        </is>
      </c>
      <c r="D3" s="5" t="inlineStr">
        <is>
          <t>KS (D)</t>
        </is>
      </c>
      <c r="E3" s="5" t="inlineStr">
        <is>
          <t>Nota</t>
        </is>
      </c>
    </row>
    <row r="4">
      <c r="A4" s="6" t="inlineStr">
        <is>
          <t>Gamma</t>
        </is>
      </c>
      <c r="B4" s="7" t="inlineStr">
        <is>
          <t>forma 0,55</t>
        </is>
      </c>
      <c r="C4" s="7" t="inlineStr">
        <is>
          <t>escala 128 min</t>
        </is>
      </c>
      <c r="D4" s="42" t="n">
        <v>0.08</v>
      </c>
      <c r="E4" s="7" t="inlineStr">
        <is>
          <t>la que mejor ajusta</t>
        </is>
      </c>
    </row>
    <row r="5">
      <c r="A5" s="6" t="inlineStr">
        <is>
          <t>Weibull</t>
        </is>
      </c>
      <c r="B5" s="7" t="inlineStr">
        <is>
          <t>forma 0,67</t>
        </is>
      </c>
      <c r="C5" s="7" t="inlineStr">
        <is>
          <t>escala 53 min</t>
        </is>
      </c>
      <c r="D5" s="42" t="n">
        <v>0.106</v>
      </c>
      <c r="E5" s="7" t="inlineStr"/>
    </row>
    <row r="6">
      <c r="A6" s="6" t="inlineStr">
        <is>
          <t>Lognormal</t>
        </is>
      </c>
      <c r="B6" s="7" t="inlineStr">
        <is>
          <t>σ 1,98</t>
        </is>
      </c>
      <c r="C6" s="7" t="inlineStr">
        <is>
          <t>mediana 22 min</t>
        </is>
      </c>
      <c r="D6" s="42" t="n">
        <v>0.142</v>
      </c>
      <c r="E6" s="7" t="inlineStr"/>
    </row>
    <row r="7">
      <c r="A7" s="6" t="inlineStr">
        <is>
          <t>Exponencial = Erlang k=1</t>
        </is>
      </c>
      <c r="B7" s="7" t="inlineStr">
        <is>
          <t>media 70 min</t>
        </is>
      </c>
      <c r="C7" s="7" t="inlineStr"/>
      <c r="D7" s="42" t="n">
        <v>0.151</v>
      </c>
      <c r="E7" s="7" t="inlineStr">
        <is>
          <t>la que peor ajusta de las cuatro</t>
        </is>
      </c>
    </row>
    <row r="8">
      <c r="A8" s="6" t="inlineStr">
        <is>
          <t>Erlang k=2</t>
        </is>
      </c>
      <c r="B8" s="7" t="inlineStr">
        <is>
          <t>media 70 min</t>
        </is>
      </c>
      <c r="C8" s="7" t="inlineStr"/>
      <c r="D8" s="42" t="n">
        <v>0.274</v>
      </c>
      <c r="E8" s="7" t="inlineStr">
        <is>
          <t>una Erlang tiene CV ≤ 1 y estos datos tienen 3,9</t>
        </is>
      </c>
    </row>
    <row r="10">
      <c r="A10" s="6" t="inlineStr">
        <is>
          <t>Mediana · p90</t>
        </is>
      </c>
      <c r="B10" s="14" t="inlineStr">
        <is>
          <t>43 min</t>
        </is>
      </c>
      <c r="C10" s="14" t="inlineStr">
        <is>
          <t>151 min</t>
        </is>
      </c>
      <c r="D10" s="7" t="n"/>
      <c r="E10" s="7" t="n"/>
    </row>
    <row r="11">
      <c r="A11" s="6" t="inlineStr">
        <is>
          <t>Media · desvío</t>
        </is>
      </c>
      <c r="B11" s="14" t="inlineStr">
        <is>
          <t>70 min</t>
        </is>
      </c>
      <c r="C11" s="14" t="inlineStr">
        <is>
          <t>271 min</t>
        </is>
      </c>
      <c r="D11" s="7" t="n"/>
      <c r="E11" s="7" t="n"/>
    </row>
    <row r="12">
      <c r="A12" s="6" t="inlineStr">
        <is>
          <t>Coef. de variación</t>
        </is>
      </c>
      <c r="B12" s="14" t="inlineStr">
        <is>
          <t>3,9</t>
        </is>
      </c>
      <c r="C12" s="14" t="inlineStr">
        <is>
          <t>1,18 sin el 1 % más extremo</t>
        </is>
      </c>
      <c r="D12" s="7" t="n"/>
      <c r="E12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60" customWidth="1" min="4" max="4"/>
  </cols>
  <sheetData>
    <row r="1">
      <c r="A1" s="1" t="inlineStr">
        <is>
          <t>Lo que el simulador tiene que reproducir</t>
        </is>
      </c>
    </row>
    <row r="2">
      <c r="A2" s="4" t="inlineStr">
        <is>
          <t>Con la dotación de hoy, y cortando las cascadas simuladas en 500 como el export.</t>
        </is>
      </c>
    </row>
    <row r="3">
      <c r="A3" s="5" t="inlineStr">
        <is>
          <t>Métrica</t>
        </is>
      </c>
      <c r="B3" s="5" t="inlineStr">
        <is>
          <t>Observado</t>
        </is>
      </c>
      <c r="C3" s="5" t="inlineStr">
        <is>
          <t>Unidad</t>
        </is>
      </c>
      <c r="D3" s="5" t="inlineStr">
        <is>
          <t>Nota</t>
        </is>
      </c>
    </row>
    <row r="4">
      <c r="A4" s="7" t="inlineStr">
        <is>
          <t>Cascadas</t>
        </is>
      </c>
      <c r="B4" s="43" t="n">
        <v>5000</v>
      </c>
      <c r="C4" s="7" t="inlineStr">
        <is>
          <t>cascadas</t>
        </is>
      </c>
      <c r="D4" s="7" t="inlineStr"/>
    </row>
    <row r="5">
      <c r="A5" s="7" t="inlineStr">
        <is>
          <t>Cascadas de un solo evento</t>
        </is>
      </c>
      <c r="B5" s="21" t="n">
        <v>0.4038</v>
      </c>
      <c r="C5" s="7" t="inlineStr">
        <is>
          <t>%</t>
        </is>
      </c>
      <c r="D5" s="7" t="inlineStr">
        <is>
          <t>2.019 de 5.000</t>
        </is>
      </c>
    </row>
    <row r="6">
      <c r="A6" s="7" t="inlineStr">
        <is>
          <t>Tamaño medio</t>
        </is>
      </c>
      <c r="B6" s="43" t="n">
        <v>13.2</v>
      </c>
      <c r="C6" s="7" t="inlineStr">
        <is>
          <t>eventos</t>
        </is>
      </c>
      <c r="D6" s="7" t="inlineStr">
        <is>
          <t>con las truncadas</t>
        </is>
      </c>
    </row>
    <row r="7">
      <c r="A7" s="7" t="inlineStr">
        <is>
          <t>Tamaño mediano</t>
        </is>
      </c>
      <c r="B7" s="43" t="n">
        <v>2</v>
      </c>
      <c r="C7" s="7" t="inlineStr">
        <is>
          <t>eventos</t>
        </is>
      </c>
      <c r="D7" s="7" t="inlineStr"/>
    </row>
    <row r="8">
      <c r="A8" s="7" t="inlineStr">
        <is>
          <t>Tamaño p90</t>
        </is>
      </c>
      <c r="B8" s="43" t="n">
        <v>29</v>
      </c>
      <c r="C8" s="7" t="inlineStr">
        <is>
          <t>eventos</t>
        </is>
      </c>
      <c r="D8" s="7" t="inlineStr"/>
    </row>
    <row r="9">
      <c r="A9" s="7" t="inlineStr">
        <is>
          <t>Tamaño p99</t>
        </is>
      </c>
      <c r="B9" s="43" t="n">
        <v>188</v>
      </c>
      <c r="C9" s="7" t="inlineStr">
        <is>
          <t>eventos</t>
        </is>
      </c>
      <c r="D9" s="7" t="inlineStr">
        <is>
          <t>el test que manda para D16 y D17</t>
        </is>
      </c>
    </row>
    <row r="10">
      <c r="A10" s="7" t="inlineStr">
        <is>
          <t>Tamaño máximo</t>
        </is>
      </c>
      <c r="B10" s="43" t="n">
        <v>500</v>
      </c>
      <c r="C10" s="7" t="inlineStr">
        <is>
          <t>eventos</t>
        </is>
      </c>
      <c r="D10" s="7" t="inlineStr">
        <is>
          <t>tope del export</t>
        </is>
      </c>
    </row>
    <row r="11">
      <c r="A11" s="7" t="inlineStr">
        <is>
          <t>Profundidad máxima: mediana · p90 · p99</t>
        </is>
      </c>
      <c r="B11" s="14" t="inlineStr">
        <is>
          <t>1 · 5 · 10</t>
        </is>
      </c>
      <c r="C11" s="7" t="inlineStr">
        <is>
          <t>generaciones</t>
        </is>
      </c>
      <c r="D11" s="7" t="inlineStr"/>
    </row>
    <row r="12">
      <c r="A12" s="7" t="inlineStr">
        <is>
          <t>Hijos por evento (R), sin truncadas</t>
        </is>
      </c>
      <c r="B12" s="43" t="n">
        <v>0.916</v>
      </c>
      <c r="C12" s="7" t="inlineStr">
        <is>
          <t>hijos</t>
        </is>
      </c>
      <c r="D12" s="7" t="inlineStr"/>
    </row>
    <row r="13">
      <c r="A13" s="7" t="inlineStr">
        <is>
          <t>Varianza / media de los hijos</t>
        </is>
      </c>
      <c r="B13" s="43" t="n">
        <v>5.1</v>
      </c>
      <c r="C13" s="7" t="inlineStr"/>
      <c r="D13" s="7" t="inlineStr">
        <is>
          <t>sobredispersión</t>
        </is>
      </c>
    </row>
    <row r="14">
      <c r="A14" s="7" t="inlineStr">
        <is>
          <t>Fracción marcada por Centinela</t>
        </is>
      </c>
      <c r="B14" s="21" t="n">
        <v>0.225</v>
      </c>
      <c r="C14" s="7" t="inlineStr">
        <is>
          <t>%</t>
        </is>
      </c>
      <c r="D14" s="7" t="inlineStr"/>
    </row>
    <row r="15">
      <c r="A15" s="7" t="inlineStr">
        <is>
          <t>Latencia de moderación: mediana</t>
        </is>
      </c>
      <c r="B15" s="43" t="n">
        <v>139.9</v>
      </c>
      <c r="C15" s="7" t="inlineStr">
        <is>
          <t>min</t>
        </is>
      </c>
      <c r="D15" s="7" t="inlineStr">
        <is>
          <t>salida, no entrada: con la escala de D7</t>
        </is>
      </c>
    </row>
    <row r="16">
      <c r="A16" s="7" t="inlineStr">
        <is>
          <t>Latencia de moderación: p90</t>
        </is>
      </c>
      <c r="B16" s="43" t="n">
        <v>381.1</v>
      </c>
      <c r="C16" s="7" t="inlineStr">
        <is>
          <t>min</t>
        </is>
      </c>
      <c r="D16" s="7" t="inlineStr"/>
    </row>
    <row r="17">
      <c r="A17" s="7" t="inlineStr">
        <is>
          <t>Latencia de moderación: piso</t>
        </is>
      </c>
      <c r="B17" s="43" t="n">
        <v>90</v>
      </c>
      <c r="C17" s="7" t="inlineStr">
        <is>
          <t>min</t>
        </is>
      </c>
      <c r="D17" s="7" t="inlineStr">
        <is>
          <t>ninguna baja de 90</t>
        </is>
      </c>
    </row>
    <row r="18">
      <c r="A18" s="7" t="inlineStr">
        <is>
          <t>Impresiones / seguidores</t>
        </is>
      </c>
      <c r="B18" s="43" t="n">
        <v>0.15</v>
      </c>
      <c r="C18" s="7" t="inlineStr"/>
      <c r="D18" s="7" t="inlineStr">
        <is>
          <t>igual en los cinco tipos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14" customWidth="1" min="3" max="3"/>
    <col width="60" customWidth="1" min="4" max="4"/>
  </cols>
  <sheetData>
    <row r="1">
      <c r="A1" s="1" t="inlineStr">
        <is>
          <t>Cuentas sin simular</t>
        </is>
      </c>
    </row>
    <row r="2">
      <c r="A2" s="4" t="inlineStr">
        <is>
          <t>Todo es fórmula. Cambiá los valores azules o los de 'Parámetros CSV' y se recalcula.</t>
        </is>
      </c>
    </row>
    <row r="3">
      <c r="A3" s="5" t="inlineStr">
        <is>
          <t>Qué</t>
        </is>
      </c>
      <c r="B3" s="5" t="inlineStr">
        <is>
          <t>Fórmula</t>
        </is>
      </c>
      <c r="C3" s="5" t="inlineStr">
        <is>
          <t>Valor</t>
        </is>
      </c>
      <c r="D3" s="5" t="inlineStr">
        <is>
          <t>Nota</t>
        </is>
      </c>
    </row>
    <row r="4">
      <c r="A4" s="7" t="inlineStr">
        <is>
          <t>R de todas las cascadas</t>
        </is>
      </c>
      <c r="B4" s="28" t="inlineStr">
        <is>
          <t>medido</t>
        </is>
      </c>
      <c r="C4" s="42" t="n">
        <v>0.916</v>
      </c>
      <c r="D4" s="7" t="inlineStr"/>
    </row>
    <row r="5">
      <c r="A5" s="7" t="inlineStr">
        <is>
          <t>Impresiones / seguidores</t>
        </is>
      </c>
      <c r="B5" s="28" t="inlineStr">
        <is>
          <t>medido</t>
        </is>
      </c>
      <c r="C5" s="22" t="n">
        <v>0.15</v>
      </c>
      <c r="D5" s="7" t="inlineStr">
        <is>
          <t>lo usa la hoja Tipos de cuenta</t>
        </is>
      </c>
    </row>
    <row r="6">
      <c r="A6" s="7" t="inlineStr">
        <is>
          <t>Tamaño esperado de una cascada</t>
        </is>
      </c>
      <c r="B6" s="28" t="inlineStr">
        <is>
          <t>1 / (1 − R)</t>
        </is>
      </c>
      <c r="C6" s="40">
        <f>1/(1-C4)</f>
        <v/>
      </c>
      <c r="D6" s="7" t="inlineStr">
        <is>
          <t>11,84 medido</t>
        </is>
      </c>
    </row>
    <row r="7">
      <c r="A7" s="7" t="inlineStr">
        <is>
          <t>R de las campañas C2</t>
        </is>
      </c>
      <c r="B7" s="28" t="inlineStr">
        <is>
          <t>estimado</t>
        </is>
      </c>
      <c r="C7" s="42" t="n">
        <v>0.977</v>
      </c>
      <c r="D7" s="7" t="inlineStr">
        <is>
          <t>sale de 1 − 1/42,8</t>
        </is>
      </c>
    </row>
    <row r="8">
      <c r="A8" s="7" t="inlineStr">
        <is>
          <t>Tamaño esperado de una campaña C2</t>
        </is>
      </c>
      <c r="B8" s="28" t="inlineStr">
        <is>
          <t>1 / (1 − R C2)</t>
        </is>
      </c>
      <c r="C8" s="40">
        <f>1/(1-C7)</f>
        <v/>
      </c>
      <c r="D8" s="7" t="inlineStr">
        <is>
          <t>42,8 medido, subestimado por el tope de 500</t>
        </is>
      </c>
    </row>
    <row r="9">
      <c r="A9" s="7" t="inlineStr">
        <is>
          <t>R de C2 si una palanca la baja a</t>
        </is>
      </c>
      <c r="B9" s="28" t="inlineStr">
        <is>
          <t>escenario</t>
        </is>
      </c>
      <c r="C9" s="42" t="n">
        <v>0.95</v>
      </c>
      <c r="D9" s="7" t="inlineStr">
        <is>
          <t>cambiar para probar</t>
        </is>
      </c>
    </row>
    <row r="10">
      <c r="A10" s="7" t="inlineStr">
        <is>
          <t>Tamaño esperado con esa palanca</t>
        </is>
      </c>
      <c r="B10" s="28" t="inlineStr">
        <is>
          <t>1 / (1 − R)</t>
        </is>
      </c>
      <c r="C10" s="40">
        <f>1/(1-C9)</f>
        <v/>
      </c>
      <c r="D10" s="7" t="inlineStr">
        <is>
          <t>de 43 pasa a 20: se parte a la mitad</t>
        </is>
      </c>
    </row>
    <row r="11">
      <c r="A11" s="7" t="inlineStr">
        <is>
          <t>Días de la muestra</t>
        </is>
      </c>
      <c r="B11" s="28" t="inlineStr">
        <is>
          <t>Llegadas</t>
        </is>
      </c>
      <c r="C11" s="30">
        <f>Llegadas!$C$3</f>
        <v/>
      </c>
      <c r="D11" s="7" t="inlineStr"/>
    </row>
    <row r="12">
      <c r="A12" s="7" t="inlineStr">
        <is>
          <t>Ítems marcados por día</t>
        </is>
      </c>
      <c r="B12" s="28" t="inlineStr">
        <is>
          <t>marcados ÷ días</t>
        </is>
      </c>
      <c r="C12" s="40">
        <f>Marca!$B$8/C11</f>
        <v/>
      </c>
      <c r="D12" s="7" t="inlineStr"/>
    </row>
    <row r="13">
      <c r="A13" s="7" t="inlineStr">
        <is>
          <t>Segundos de atención por ítem</t>
        </is>
      </c>
      <c r="B13" s="28" t="inlineStr">
        <is>
          <t>costo por ítem ÷ costo por hora × 3600</t>
        </is>
      </c>
      <c r="C13" s="44">
        <f>'Parámetros CSV'!$B$8/'Parámetros CSV'!$B$5*3600</f>
        <v/>
      </c>
      <c r="D13" s="7" t="inlineStr">
        <is>
          <t>supuesto de D20: preguntar al tutor</t>
        </is>
      </c>
    </row>
    <row r="14">
      <c r="A14" s="7" t="inlineStr">
        <is>
          <t>Ítems que revisa un moderador por día</t>
        </is>
      </c>
      <c r="B14" s="28" t="inlineStr">
        <is>
          <t>86400 ÷ segundos por ítem</t>
        </is>
      </c>
      <c r="C14" s="23">
        <f>86400/C13</f>
        <v/>
      </c>
      <c r="D14" s="7" t="inlineStr"/>
    </row>
    <row r="15">
      <c r="A15" s="7" t="inlineStr">
        <is>
          <t>Moderadores por turno (c)</t>
        </is>
      </c>
      <c r="B15" s="28" t="inlineStr">
        <is>
          <t>CSV, valor base</t>
        </is>
      </c>
      <c r="C15" s="30">
        <f>'Parámetros CSV'!$B$6</f>
        <v/>
      </c>
      <c r="D15" s="7" t="inlineStr"/>
    </row>
    <row r="16">
      <c r="A16" s="7" t="inlineStr">
        <is>
          <t>Ocupación de los moderadores ρ</t>
        </is>
      </c>
      <c r="B16" s="28" t="inlineStr">
        <is>
          <t>λ ÷ (c · μ)</t>
        </is>
      </c>
      <c r="C16" s="32">
        <f>C12/(C15*C14)</f>
        <v/>
      </c>
      <c r="D16" s="7" t="inlineStr">
        <is>
          <t>con la escala de la muestra: por eso D7 bloquea</t>
        </is>
      </c>
    </row>
    <row r="17">
      <c r="A17" s="7" t="inlineStr">
        <is>
          <t>Costo social por impresión nociva</t>
        </is>
      </c>
      <c r="B17" s="28" t="inlineStr">
        <is>
          <t>CSV</t>
        </is>
      </c>
      <c r="C17" s="45">
        <f>'Parámetros CSV'!$B$16</f>
        <v/>
      </c>
      <c r="D17" s="7" t="inlineStr"/>
    </row>
    <row r="18">
      <c r="A18" s="7" t="inlineStr">
        <is>
          <t>Churn por impresión nociva</t>
        </is>
      </c>
      <c r="B18" s="28" t="inlineStr">
        <is>
          <t>tasa de churn × valor de marca</t>
        </is>
      </c>
      <c r="C18" s="45">
        <f>'Parámetros CSV'!$B$23*'Parámetros CSV'!$B$22</f>
        <v/>
      </c>
      <c r="D18" s="7" t="inlineStr"/>
    </row>
    <row r="19">
      <c r="A19" s="7" t="inlineStr">
        <is>
          <t>Costo total de una impresión nociva</t>
        </is>
      </c>
      <c r="B19" s="28" t="inlineStr">
        <is>
          <t>social + churn</t>
        </is>
      </c>
      <c r="C19" s="46">
        <f>C17+C18</f>
        <v/>
      </c>
      <c r="D19" s="7" t="inlineStr">
        <is>
          <t>USD</t>
        </is>
      </c>
    </row>
    <row r="20">
      <c r="A20" s="7" t="inlineStr">
        <is>
          <t>Ingreso de una impresión legítima</t>
        </is>
      </c>
      <c r="B20" s="28" t="inlineStr">
        <is>
          <t>CSV</t>
        </is>
      </c>
      <c r="C20" s="45">
        <f>'Parámetros CSV'!$B$4</f>
        <v/>
      </c>
      <c r="D20" s="7" t="inlineStr">
        <is>
          <t>USD</t>
        </is>
      </c>
    </row>
    <row r="21">
      <c r="A21" s="7" t="inlineStr">
        <is>
          <t>Una nociva cuesta / una legítima rinde</t>
        </is>
      </c>
      <c r="B21" s="28" t="inlineStr"/>
      <c r="C21" s="40">
        <f>C19/C20</f>
        <v/>
      </c>
      <c r="D21" s="7" t="inlineStr">
        <is>
          <t>veces</t>
        </is>
      </c>
    </row>
    <row r="22">
      <c r="A22" s="7" t="inlineStr">
        <is>
          <t>Ingreso perdido al bajar una publicación buena</t>
        </is>
      </c>
      <c r="B22" s="28" t="inlineStr">
        <is>
          <t>medido, mediana</t>
        </is>
      </c>
      <c r="C22" s="22" t="n">
        <v>0.07000000000000001</v>
      </c>
      <c r="D22" s="7" t="inlineStr">
        <is>
          <t>USD; 87 si es de un difusor masivo</t>
        </is>
      </c>
    </row>
    <row r="23">
      <c r="A23" s="7" t="inlineStr">
        <is>
          <t>Costo de bajar una publicación buena</t>
        </is>
      </c>
      <c r="B23" s="28" t="inlineStr">
        <is>
          <t>reputacional + ingreso perdido</t>
        </is>
      </c>
      <c r="C23" s="8">
        <f>'Parámetros CSV'!$B$15+C22</f>
        <v/>
      </c>
      <c r="D23" s="7" t="inlineStr">
        <is>
          <t>USD</t>
        </is>
      </c>
    </row>
    <row r="24">
      <c r="A24" s="7" t="inlineStr">
        <is>
          <t>Tipo de cambio</t>
        </is>
      </c>
      <c r="B24" s="28" t="inlineStr">
        <is>
          <t>publicación buena ÷ impresión nociva</t>
        </is>
      </c>
      <c r="C24" s="23">
        <f>C23/C19</f>
        <v/>
      </c>
      <c r="D24" s="7" t="inlineStr">
        <is>
          <t>impresiones nocivas que hay que evitar para pagar una publicación buena bajada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34" customWidth="1" min="3" max="3"/>
    <col width="56" customWidth="1" min="4" max="4"/>
  </cols>
  <sheetData>
    <row r="1">
      <c r="A1" s="1" t="inlineStr">
        <is>
          <t>Qué es cada columna</t>
        </is>
      </c>
    </row>
    <row r="2">
      <c r="A2" s="4" t="inlineStr">
        <is>
          <t>RedBaires perdió la documentación de los campos: reconstruirla es parte de la nota.</t>
        </is>
      </c>
    </row>
    <row r="3">
      <c r="A3" s="5" t="inlineStr">
        <is>
          <t>Columna</t>
        </is>
      </c>
      <c r="B3" s="5" t="inlineStr">
        <is>
          <t>Qué es</t>
        </is>
      </c>
      <c r="C3" s="5" t="inlineStr">
        <is>
          <t>Cómo lo sabemos</t>
        </is>
      </c>
      <c r="D3" s="5" t="inlineStr">
        <is>
          <t>Uso en el modelo</t>
        </is>
      </c>
    </row>
    <row r="4">
      <c r="A4" s="35" t="inlineStr">
        <is>
          <t>event_id</t>
        </is>
      </c>
      <c r="B4" s="7" t="inlineStr">
        <is>
          <t>identificador del evento</t>
        </is>
      </c>
      <c r="C4" s="7" t="inlineStr">
        <is>
          <t>clave</t>
        </is>
      </c>
      <c r="D4" s="7" t="inlineStr">
        <is>
          <t>no entra</t>
        </is>
      </c>
    </row>
    <row r="5">
      <c r="A5" s="35" t="inlineStr">
        <is>
          <t>cascade_id</t>
        </is>
      </c>
      <c r="B5" s="7" t="inlineStr">
        <is>
          <t>cascada a la que pertenece</t>
        </is>
      </c>
      <c r="C5" s="7" t="inlineStr">
        <is>
          <t>clave</t>
        </is>
      </c>
      <c r="D5" s="7" t="inlineStr">
        <is>
          <t>unidad de validación</t>
        </is>
      </c>
    </row>
    <row r="6">
      <c r="A6" s="35" t="inlineStr">
        <is>
          <t>message_id</t>
        </is>
      </c>
      <c r="B6" s="7" t="inlineStr">
        <is>
          <t>pieza de contenido</t>
        </is>
      </c>
      <c r="C6" s="7" t="inlineStr">
        <is>
          <t>clave</t>
        </is>
      </c>
      <c r="D6" s="7" t="inlineStr">
        <is>
          <t>sin uso definido</t>
        </is>
      </c>
    </row>
    <row r="7">
      <c r="A7" s="35" t="inlineStr">
        <is>
          <t>seed_flag</t>
        </is>
      </c>
      <c r="B7" s="7" t="inlineStr">
        <is>
          <t>marca el evento original</t>
        </is>
      </c>
      <c r="C7" s="7" t="inlineStr">
        <is>
          <t>dato</t>
        </is>
      </c>
      <c r="D7" s="7" t="inlineStr">
        <is>
          <t>llegadas y su tasa horaria</t>
        </is>
      </c>
    </row>
    <row r="8">
      <c r="A8" s="35" t="inlineStr">
        <is>
          <t>forward_datetime</t>
        </is>
      </c>
      <c r="B8" s="7" t="inlineStr">
        <is>
          <t>fecha y hora del evento</t>
        </is>
      </c>
      <c r="C8" s="7" t="inlineStr">
        <is>
          <t>dato</t>
        </is>
      </c>
      <c r="D8" s="7" t="inlineStr">
        <is>
          <t>tasa de llegadas; 39 fechas en 2099</t>
        </is>
      </c>
    </row>
    <row r="9">
      <c r="A9" s="35" t="inlineStr">
        <is>
          <t>actor_id</t>
        </is>
      </c>
      <c r="B9" s="7" t="inlineStr">
        <is>
          <t>cuenta que publica o reenvía</t>
        </is>
      </c>
      <c r="C9" s="7" t="inlineStr">
        <is>
          <t>dato</t>
        </is>
      </c>
      <c r="D9" s="7" t="inlineStr">
        <is>
          <t>4.000 cuentas; no es entidad</t>
        </is>
      </c>
    </row>
    <row r="10">
      <c r="A10" s="35" t="inlineStr">
        <is>
          <t>actor_follower_count</t>
        </is>
      </c>
      <c r="B10" s="7" t="inlineStr">
        <is>
          <t>seguidores</t>
        </is>
      </c>
      <c r="C10" s="7" t="inlineStr">
        <is>
          <t>dato</t>
        </is>
      </c>
      <c r="D10" s="7" t="inlineStr">
        <is>
          <t>impresiones = 0,15 × seguidores</t>
        </is>
      </c>
    </row>
    <row r="11">
      <c r="A11" s="35" t="inlineStr">
        <is>
          <t>actor_following_count</t>
        </is>
      </c>
      <c r="B11" s="7" t="inlineStr">
        <is>
          <t>a cuántos sigue</t>
        </is>
      </c>
      <c r="C11" s="7" t="inlineStr">
        <is>
          <t>dato</t>
        </is>
      </c>
      <c r="D11" s="7" t="inlineStr">
        <is>
          <t>sin uso</t>
        </is>
      </c>
    </row>
    <row r="12">
      <c r="A12" s="35" t="inlineStr">
        <is>
          <t>account_age_days</t>
        </is>
      </c>
      <c r="B12" s="7" t="inlineStr">
        <is>
          <t>antigüedad de la cuenta</t>
        </is>
      </c>
      <c r="C12" s="7" t="inlineStr">
        <is>
          <t>dato</t>
        </is>
      </c>
      <c r="D12" s="7" t="inlineStr">
        <is>
          <t>señal de coordinación; 514 anteriores a la plataforma</t>
        </is>
      </c>
    </row>
    <row r="13">
      <c r="A13" s="35" t="inlineStr">
        <is>
          <t>verified_flag</t>
        </is>
      </c>
      <c r="B13" s="7" t="inlineStr">
        <is>
          <t>cuenta verificada</t>
        </is>
      </c>
      <c r="C13" s="7" t="inlineStr">
        <is>
          <t>dato</t>
        </is>
      </c>
      <c r="D13" s="7" t="inlineStr">
        <is>
          <t>probabilidad de remoción (D10)</t>
        </is>
      </c>
    </row>
    <row r="14">
      <c r="A14" s="35" t="inlineStr">
        <is>
          <t>account_type_code</t>
        </is>
      </c>
      <c r="B14" s="7" t="inlineStr">
        <is>
          <t>BROADCASTER · CREATOR · AGGREGATOR · LURKER · STANDARD</t>
        </is>
      </c>
      <c r="C14" s="7" t="inlineStr">
        <is>
          <t>por los roles del enunciado</t>
        </is>
      </c>
      <c r="D14" s="7" t="inlineStr">
        <is>
          <t>el factor que más mueve R</t>
        </is>
      </c>
    </row>
    <row r="15">
      <c r="A15" s="35" t="inlineStr">
        <is>
          <t>parent_event_id</t>
        </is>
      </c>
      <c r="B15" s="7" t="inlineStr">
        <is>
          <t>evento padre</t>
        </is>
      </c>
      <c r="C15" s="7" t="inlineStr">
        <is>
          <t>estructura</t>
        </is>
      </c>
      <c r="D15" s="7" t="inlineStr">
        <is>
          <t>reconstruye el árbol y define R</t>
        </is>
      </c>
    </row>
    <row r="16">
      <c r="A16" s="35" t="inlineStr">
        <is>
          <t>cascade_depth</t>
        </is>
      </c>
      <c r="B16" s="7" t="inlineStr">
        <is>
          <t>generación</t>
        </is>
      </c>
      <c r="C16" s="7" t="inlineStr">
        <is>
          <t>es la del padre + 1 en el 100 %</t>
        </is>
      </c>
      <c r="D16" s="7" t="inlineStr">
        <is>
          <t>decaimiento (D18)</t>
        </is>
      </c>
    </row>
    <row r="17">
      <c r="A17" s="35" t="inlineStr">
        <is>
          <t>reshare_count_from_actor</t>
        </is>
      </c>
      <c r="B17" s="7" t="inlineStr">
        <is>
          <t>hijos del evento</t>
        </is>
      </c>
      <c r="C17" s="7" t="inlineStr">
        <is>
          <t>coincide 100 % con contar parent_event_id</t>
        </is>
      </c>
      <c r="D17" s="7" t="inlineStr">
        <is>
          <t>chequeo</t>
        </is>
      </c>
    </row>
    <row r="18">
      <c r="A18" s="35" t="inlineStr">
        <is>
          <t>impressions</t>
        </is>
      </c>
      <c r="B18" s="7" t="inlineStr">
        <is>
          <t>impresiones del evento</t>
        </is>
      </c>
      <c r="C18" s="7" t="inlineStr">
        <is>
          <t>dato</t>
        </is>
      </c>
      <c r="D18" s="7" t="inlineStr">
        <is>
          <t>VR y economía; 625 faltantes</t>
        </is>
      </c>
    </row>
    <row r="19">
      <c r="A19" s="35" t="inlineStr">
        <is>
          <t>likes</t>
        </is>
      </c>
      <c r="B19" s="7" t="inlineStr">
        <is>
          <t>me gusta</t>
        </is>
      </c>
      <c r="C19" s="7" t="inlineStr">
        <is>
          <t>dato</t>
        </is>
      </c>
      <c r="D19" s="7" t="inlineStr">
        <is>
          <t>sin uso</t>
        </is>
      </c>
    </row>
    <row r="20">
      <c r="A20" s="35" t="inlineStr">
        <is>
          <t>comments</t>
        </is>
      </c>
      <c r="B20" s="7" t="inlineStr">
        <is>
          <t>comentarios</t>
        </is>
      </c>
      <c r="C20" s="7" t="inlineStr">
        <is>
          <t>dato</t>
        </is>
      </c>
      <c r="D20" s="7" t="inlineStr">
        <is>
          <t>sin uso; 937 faltantes</t>
        </is>
      </c>
    </row>
    <row r="21">
      <c r="A21" s="35" t="inlineStr">
        <is>
          <t>dwell_time_sec</t>
        </is>
      </c>
      <c r="B21" s="7" t="inlineStr">
        <is>
          <t>tiempo de visualización</t>
        </is>
      </c>
      <c r="C21" s="7" t="inlineStr">
        <is>
          <t>dato</t>
        </is>
      </c>
      <c r="D21" s="7" t="inlineStr">
        <is>
          <t>sin uso; 2.008 faltantes y 66 negativos</t>
        </is>
      </c>
    </row>
    <row r="22">
      <c r="A22" s="35" t="inlineStr">
        <is>
          <t>inter_event_time_min</t>
        </is>
      </c>
      <c r="B22" s="7" t="inlineStr">
        <is>
          <t>minutos desde el padre</t>
        </is>
      </c>
      <c r="C22" s="7" t="inlineStr">
        <is>
          <t>coincide 99,8 % con la resta de fechas</t>
        </is>
      </c>
      <c r="D22" s="7" t="inlineStr">
        <is>
          <t>tiempo entre generaciones (D19)</t>
        </is>
      </c>
    </row>
    <row r="23">
      <c r="A23" s="35" t="inlineStr">
        <is>
          <t>content_half_life_min</t>
        </is>
      </c>
      <c r="B23" s="7" t="inlineStr">
        <is>
          <t>vida media de la pieza</t>
        </is>
      </c>
      <c r="C23" s="7" t="inlineStr">
        <is>
          <t>dato, uno por cascada</t>
        </is>
      </c>
      <c r="D23" s="7" t="inlineStr">
        <is>
          <t>no correlaciona con el tamaño (D18)</t>
        </is>
      </c>
    </row>
    <row r="24">
      <c r="A24" s="35" t="inlineStr">
        <is>
          <t>content_type_code</t>
        </is>
      </c>
      <c r="B24" s="7" t="inlineStr">
        <is>
          <t>formato</t>
        </is>
      </c>
      <c r="C24" s="7" t="inlineStr">
        <is>
          <t>dato</t>
        </is>
      </c>
      <c r="D24" s="7" t="inlineStr">
        <is>
          <t>multiplicador chico de R: 0,77 a 0,96</t>
        </is>
      </c>
    </row>
    <row r="25">
      <c r="A25" s="35" t="inlineStr">
        <is>
          <t>topic_code</t>
        </is>
      </c>
      <c r="B25" s="7" t="inlineStr">
        <is>
          <t>tema: DISARM-* u ORG-*</t>
        </is>
      </c>
      <c r="C25" s="7" t="inlineStr">
        <is>
          <t>marco de DISARM</t>
        </is>
      </c>
      <c r="D25" s="7" t="inlineStr">
        <is>
          <t>candidato a «nocivo» (D8)</t>
        </is>
      </c>
    </row>
    <row r="26">
      <c r="A26" s="35" t="inlineStr">
        <is>
          <t>toxicity_index</t>
        </is>
      </c>
      <c r="B26" s="7" t="inlineStr">
        <is>
          <t>puntaje de Centinela</t>
        </is>
      </c>
      <c r="C26" s="7" t="inlineStr">
        <is>
          <t>dato, nunca falta</t>
        </is>
      </c>
      <c r="D26" s="7" t="inlineStr">
        <is>
          <t>probabilidad de marca; el otro candidato a «nocivo»</t>
        </is>
      </c>
    </row>
    <row r="27">
      <c r="A27" s="35" t="inlineStr">
        <is>
          <t>sentiment_score</t>
        </is>
      </c>
      <c r="B27" s="7" t="inlineStr">
        <is>
          <t>sentimiento</t>
        </is>
      </c>
      <c r="C27" s="7" t="inlineStr">
        <is>
          <t>dato</t>
        </is>
      </c>
      <c r="D27" s="7" t="inlineStr">
        <is>
          <t>sin uso; 1.347 faltantes</t>
        </is>
      </c>
    </row>
    <row r="28">
      <c r="A28" s="35" t="inlineStr">
        <is>
          <t>platform_surface_code</t>
        </is>
      </c>
      <c r="B28" s="7" t="inlineStr">
        <is>
          <t>FEED · GROUP · STORY · DM · REPOST</t>
        </is>
      </c>
      <c r="C28" s="7" t="inlineStr">
        <is>
          <t>dato</t>
        </is>
      </c>
      <c r="D28" s="7" t="inlineStr">
        <is>
          <t>multiplicador de R: 0,55 a 1,13</t>
        </is>
      </c>
    </row>
    <row r="29">
      <c r="A29" s="35" t="inlineStr">
        <is>
          <t>language_code</t>
        </is>
      </c>
      <c r="B29" s="7" t="inlineStr">
        <is>
          <t>idioma</t>
        </is>
      </c>
      <c r="C29" s="7" t="inlineStr">
        <is>
          <t>dato sucio (es · ES · es-AR)</t>
        </is>
      </c>
      <c r="D29" s="7" t="inlineStr">
        <is>
          <t>sin uso</t>
        </is>
      </c>
    </row>
    <row r="30">
      <c r="A30" s="35" t="inlineStr">
        <is>
          <t>hashtag_cluster_ref</t>
        </is>
      </c>
      <c r="B30" s="7" t="inlineStr">
        <is>
          <t>identificador de campaña</t>
        </is>
      </c>
      <c r="C30" s="7" t="inlineStr">
        <is>
          <t>hipótesis: el sufijo C2 es coordinación</t>
        </is>
      </c>
      <c r="D30" s="7" t="inlineStr">
        <is>
          <t>qué es coordinada (D11)</t>
        </is>
      </c>
    </row>
    <row r="31">
      <c r="A31" s="35" t="inlineStr">
        <is>
          <t>device_fingerprint_code</t>
        </is>
      </c>
      <c r="B31" s="7" t="inlineStr">
        <is>
          <t>rasgo del dispositivo</t>
        </is>
      </c>
      <c r="C31" s="7" t="inlineStr">
        <is>
          <t>dato</t>
        </is>
      </c>
      <c r="D31" s="7" t="inlineStr">
        <is>
          <t>no separa: el 98 % está en más de 3 cascadas</t>
        </is>
      </c>
    </row>
    <row r="32">
      <c r="A32" s="35" t="inlineStr">
        <is>
          <t>moderation_flag</t>
        </is>
      </c>
      <c r="B32" s="7" t="inlineStr">
        <is>
          <t>marcada por Centinela</t>
        </is>
      </c>
      <c r="C32" s="7" t="inlineStr">
        <is>
          <t>dato</t>
        </is>
      </c>
      <c r="D32" s="7" t="inlineStr">
        <is>
          <t>tasa a reproducir</t>
        </is>
      </c>
    </row>
    <row r="33">
      <c r="A33" s="35" t="inlineStr">
        <is>
          <t>moderation_latency_min</t>
        </is>
      </c>
      <c r="B33" s="7" t="inlineStr">
        <is>
          <t>minutos hasta la acción</t>
        </is>
      </c>
      <c r="C33" s="7" t="inlineStr">
        <is>
          <t>dato</t>
        </is>
      </c>
      <c r="D33" s="7" t="inlineStr">
        <is>
          <t>salida, no entrada: objetivo de validación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50" customWidth="1" min="3" max="3"/>
  </cols>
  <sheetData>
    <row r="1">
      <c r="A1" s="1" t="inlineStr">
        <is>
          <t>Lo sucio de la muestra</t>
        </is>
      </c>
    </row>
    <row r="2">
      <c r="A2" s="4" t="inlineStr">
        <is>
          <t>Qué hacer con cada problema es parte del modelo de datos.</t>
        </is>
      </c>
    </row>
    <row r="3">
      <c r="A3" s="5" t="inlineStr">
        <is>
          <t>Problema</t>
        </is>
      </c>
      <c r="B3" s="5" t="inlineStr">
        <is>
          <t>Cuántos</t>
        </is>
      </c>
      <c r="C3" s="5" t="inlineStr">
        <is>
          <t>Qué se hace</t>
        </is>
      </c>
    </row>
    <row r="4">
      <c r="A4" s="7" t="inlineStr">
        <is>
          <t>Filas duplicadas</t>
        </is>
      </c>
      <c r="B4" s="16" t="n">
        <v>132</v>
      </c>
      <c r="C4" s="7" t="inlineStr">
        <is>
          <t>se sacan</t>
        </is>
      </c>
    </row>
    <row r="5">
      <c r="A5" s="7" t="inlineStr">
        <is>
          <t>Cascadas cortadas en exactamente 500 eventos (todas C2)</t>
        </is>
      </c>
      <c r="B5" s="16" t="n">
        <v>14</v>
      </c>
      <c r="C5" s="7" t="inlineStr">
        <is>
          <t>D14</t>
        </is>
      </c>
    </row>
    <row r="6">
      <c r="A6" s="7" t="inlineStr">
        <is>
          <t>Mayúsculas mezcladas en formato, superficie e idioma</t>
        </is>
      </c>
      <c r="B6" s="16" t="n">
        <v>13850</v>
      </c>
      <c r="C6" s="7" t="inlineStr">
        <is>
          <t>se normalizan</t>
        </is>
      </c>
    </row>
    <row r="7">
      <c r="A7" s="7" t="inlineStr">
        <is>
          <t>Faltantes en dwell_time_sec</t>
        </is>
      </c>
      <c r="B7" s="16" t="n">
        <v>2008</v>
      </c>
      <c r="C7" s="36" t="inlineStr"/>
    </row>
    <row r="8">
      <c r="A8" s="7" t="inlineStr">
        <is>
          <t>Faltantes en sentiment_score</t>
        </is>
      </c>
      <c r="B8" s="16" t="n">
        <v>1347</v>
      </c>
      <c r="C8" s="36" t="inlineStr"/>
    </row>
    <row r="9">
      <c r="A9" s="7" t="inlineStr">
        <is>
          <t>Faltantes en device_fingerprint_code</t>
        </is>
      </c>
      <c r="B9" s="16" t="n">
        <v>1327</v>
      </c>
      <c r="C9" s="36" t="inlineStr"/>
    </row>
    <row r="10">
      <c r="A10" s="7" t="inlineStr">
        <is>
          <t>Faltantes en comments</t>
        </is>
      </c>
      <c r="B10" s="16" t="n">
        <v>937</v>
      </c>
      <c r="C10" s="36" t="inlineStr"/>
    </row>
    <row r="11">
      <c r="A11" s="7" t="inlineStr">
        <is>
          <t>Faltantes en content_half_life_min</t>
        </is>
      </c>
      <c r="B11" s="16" t="n">
        <v>667</v>
      </c>
      <c r="C11" s="36" t="inlineStr"/>
    </row>
    <row r="12">
      <c r="A12" s="7" t="inlineStr">
        <is>
          <t>Faltantes en impressions</t>
        </is>
      </c>
      <c r="B12" s="16" t="n">
        <v>625</v>
      </c>
      <c r="C12" s="36" t="inlineStr"/>
    </row>
    <row r="13">
      <c r="A13" s="7" t="inlineStr">
        <is>
          <t>Fechas en 2099</t>
        </is>
      </c>
      <c r="B13" s="16" t="n">
        <v>39</v>
      </c>
      <c r="C13" s="36" t="inlineStr"/>
    </row>
    <row r="14">
      <c r="A14" s="7" t="inlineStr">
        <is>
          <t>Hijos anteriores al padre (inter_event_time_min negativo)</t>
        </is>
      </c>
      <c r="B14" s="16" t="n">
        <v>39</v>
      </c>
      <c r="C14" s="36" t="inlineStr"/>
    </row>
    <row r="15">
      <c r="A15" s="7" t="inlineStr">
        <is>
          <t>Cuentas más viejas que la plataforma (opera desde 2013)</t>
        </is>
      </c>
      <c r="B15" s="16" t="n">
        <v>514</v>
      </c>
      <c r="C15" s="36" t="inlineStr"/>
    </row>
    <row r="16">
      <c r="A16" s="7" t="inlineStr">
        <is>
          <t>Latencia de moderación mayor a 24 h</t>
        </is>
      </c>
      <c r="B16" s="16" t="n">
        <v>196</v>
      </c>
      <c r="C16" s="36" t="inlineStr"/>
    </row>
    <row r="17">
      <c r="A17" s="7" t="inlineStr">
        <is>
          <t>dwell_time_sec negativo</t>
        </is>
      </c>
      <c r="B17" s="16" t="n">
        <v>66</v>
      </c>
      <c r="C17" s="36" t="inlineStr"/>
    </row>
    <row r="18">
      <c r="A18" s="7" t="inlineStr">
        <is>
          <t>Cuentas con 0 seguidores</t>
        </is>
      </c>
      <c r="B18" s="16" t="n">
        <v>52</v>
      </c>
      <c r="C18" s="36" t="inlineStr"/>
    </row>
    <row r="19">
      <c r="A19" s="7" t="inlineStr">
        <is>
          <t>Cuentas con más de un valor de seguidores (de 4.000)</t>
        </is>
      </c>
      <c r="B19" s="16" t="n">
        <v>3627</v>
      </c>
      <c r="C19" s="7" t="inlineStr">
        <is>
          <t>¿seguidores al momento del evento?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4" customWidth="1" min="3" max="3"/>
    <col width="34" customWidth="1" min="4" max="4"/>
    <col width="40" customWidth="1" min="5" max="5"/>
    <col width="26" customWidth="1" min="6" max="6"/>
  </cols>
  <sheetData>
    <row r="1">
      <c r="A1" s="1" t="inlineStr">
        <is>
          <t>Decisiones D1 a D20</t>
        </is>
      </c>
    </row>
    <row r="2">
      <c r="A2" s="4" t="inlineStr">
        <is>
          <t>Misma numeración que el README y el artifact. La columna amarilla es para lo que elija el grupo.</t>
        </is>
      </c>
    </row>
    <row r="3">
      <c r="A3" s="5" t="inlineStr">
        <is>
          <t>D</t>
        </is>
      </c>
      <c r="B3" s="5" t="inlineStr">
        <is>
          <t>Decisión</t>
        </is>
      </c>
      <c r="C3" s="5" t="inlineStr">
        <is>
          <t>Opciones</t>
        </is>
      </c>
      <c r="D3" s="5" t="inlineStr">
        <is>
          <t>Propuesta</t>
        </is>
      </c>
      <c r="E3" s="5" t="inlineStr">
        <is>
          <t>Dato clave</t>
        </is>
      </c>
      <c r="F3" s="5" t="inlineStr">
        <is>
          <t>Elige el grupo</t>
        </is>
      </c>
    </row>
    <row r="4">
      <c r="A4" s="6" t="inlineStr">
        <is>
          <t>D1</t>
        </is>
      </c>
      <c r="B4" s="6" t="inlineStr">
        <is>
          <t>¿Qué es la entidad?</t>
        </is>
      </c>
      <c r="C4" s="7" t="inlineStr">
        <is>
          <t>la cascada · un lote por generación · el reenvío</t>
        </is>
      </c>
      <c r="D4" s="7" t="inlineStr">
        <is>
          <t>la cascada (DECIDIDA 22/9)</t>
        </is>
      </c>
      <c r="E4" s="7" t="inlineStr">
        <is>
          <t>139 min hasta la acción contra 43 entre generaciones</t>
        </is>
      </c>
      <c r="F4" s="36" t="inlineStr">
        <is>
          <t>la cascada</t>
        </is>
      </c>
    </row>
    <row r="5">
      <c r="A5" s="6" t="inlineStr">
        <is>
          <t>D2</t>
        </is>
      </c>
      <c r="B5" s="6" t="inlineStr">
        <is>
          <t>¿Qué recursos tienen capacidad?</t>
        </is>
      </c>
      <c r="C5" s="7" t="inlineStr">
        <is>
          <t>sólo moderadores · moderadores y Centinela con cola</t>
        </is>
      </c>
      <c r="D5" s="7" t="inlineStr">
        <is>
          <t>sólo moderadores</t>
        </is>
      </c>
      <c r="E5" s="7" t="inlineStr">
        <is>
          <t>latencia contra carga: Spearman 0,022; piso de 90 min</t>
        </is>
      </c>
      <c r="F5" s="36" t="n"/>
    </row>
    <row r="6">
      <c r="A6" s="6" t="inlineStr">
        <is>
          <t>D3</t>
        </is>
      </c>
      <c r="B6" s="6" t="inlineStr">
        <is>
          <t>Variables de decisión (mínimo 2)</t>
        </is>
      </c>
      <c r="C6" s="7" t="inlineStr">
        <is>
          <t>moderadores c · límite de reenvíos · degradación · agresividad del clasificador</t>
        </is>
      </c>
      <c r="D6" s="7" t="inlineStr">
        <is>
          <t>las tres del memo</t>
        </is>
      </c>
      <c r="E6" s="7" t="inlineStr">
        <is>
          <t>rangos en 'Parámetros CSV'</t>
        </is>
      </c>
      <c r="F6" s="36" t="n"/>
    </row>
    <row r="7">
      <c r="A7" s="6" t="inlineStr">
        <is>
          <t>D4</t>
        </is>
      </c>
      <c r="B7" s="6" t="inlineStr">
        <is>
          <t>Variables de referencia (mínimo 2, contrapuestas)</t>
        </is>
      </c>
      <c r="C7" s="7" t="inlineStr">
        <is>
          <t>nocivas servidas · buenas bajadas · legítimas perdidas por fricción · ítems revisados × 0,12 · tiempo hasta la acción · alcance contra tamaño nocivo</t>
        </is>
      </c>
      <c r="D7" s="7" t="inlineStr">
        <is>
          <t>nocivas servidas + buenas bajadas (+ legítimas perdidas)</t>
        </is>
      </c>
      <c r="E7" s="7" t="inlineStr">
        <is>
          <t>43 % de la cola es legítima; tipo de cambio en 'A priori'</t>
        </is>
      </c>
      <c r="F7" s="36" t="n"/>
    </row>
    <row r="8">
      <c r="A8" s="6" t="inlineStr">
        <is>
          <t>D5</t>
        </is>
      </c>
      <c r="B8" s="6" t="inlineStr">
        <is>
          <t>Variables de estado (mínimo 2)</t>
        </is>
      </c>
      <c r="C8" s="7" t="inlineStr">
        <is>
          <t>ocupación (obligatoria) · largo de la cola · cascadas vivas e ítems en revisión · R efectivo</t>
        </is>
      </c>
      <c r="D8" s="7" t="inlineStr">
        <is>
          <t>ocupación + cola + cascadas vivas</t>
        </is>
      </c>
      <c r="E8" s="7" t="inlineStr">
        <is>
          <t>ocupación a escala de la muestra en 'A priori'</t>
        </is>
      </c>
      <c r="F8" s="36" t="n"/>
    </row>
    <row r="9">
      <c r="A9" s="6" t="inlineStr">
        <is>
          <t>D6</t>
        </is>
      </c>
      <c r="B9" s="6" t="inlineStr">
        <is>
          <t>¿Qué horizonte se simula?</t>
        </is>
      </c>
      <c r="C9" s="7" t="inlineStr">
        <is>
          <t>un mes + peor episodio · un solo episodio</t>
        </is>
      </c>
      <c r="D9" s="7" t="inlineStr">
        <is>
          <t>un mes + peor episodio</t>
        </is>
      </c>
      <c r="E9" s="7" t="inlineStr">
        <is>
          <t>pregunta al tutor</t>
        </is>
      </c>
      <c r="F9" s="36" t="n"/>
    </row>
    <row r="10">
      <c r="A10" s="6" t="inlineStr">
        <is>
          <t>D7</t>
        </is>
      </c>
      <c r="B10" s="6" t="inlineStr">
        <is>
          <t>¿Cuál es la escala?</t>
        </is>
      </c>
      <c r="C10" s="7" t="inlineStr">
        <is>
          <t>calibrar a 139 min · la muestra tal cual · proporción de 7,8 M</t>
        </is>
      </c>
      <c r="D10" s="7" t="inlineStr">
        <is>
          <t>calibrar a 139 min</t>
        </is>
      </c>
      <c r="E10" s="7" t="inlineStr">
        <is>
          <t>BLOQUEA: ocupación de 2 %</t>
        </is>
      </c>
      <c r="F10" s="36" t="n"/>
    </row>
    <row r="11">
      <c r="A11" s="6" t="inlineStr">
        <is>
          <t>D8</t>
        </is>
      </c>
      <c r="B11" s="6" t="inlineStr">
        <is>
          <t>¿Qué cuenta como nocivo?</t>
        </is>
      </c>
      <c r="C11" s="7" t="inlineStr">
        <is>
          <t>DISARM · umbral de toxicidad · los dos</t>
        </is>
      </c>
      <c r="D11" s="7" t="inlineStr">
        <is>
          <t>DISARM</t>
        </is>
      </c>
      <c r="E11" s="7" t="inlineStr">
        <is>
          <t>BLOQUEA: con DISARM, precisión 0,57 y recall 0,34 contra 0,72 y 0,63 del CSV</t>
        </is>
      </c>
      <c r="F11" s="36" t="n"/>
    </row>
    <row r="12">
      <c r="A12" s="6" t="inlineStr">
        <is>
          <t>D9</t>
        </is>
      </c>
      <c r="B12" s="6" t="inlineStr">
        <is>
          <t>¿Hay prioridad en la cola?</t>
        </is>
      </c>
      <c r="C12" s="7" t="inlineStr">
        <is>
          <t>FIFO + prioridad como escenario · sólo FIFO</t>
        </is>
      </c>
      <c r="D12" s="7" t="inlineStr">
        <is>
          <t>FIFO + escenario</t>
        </is>
      </c>
      <c r="E12" s="7" t="inlineStr">
        <is>
          <t>la espera no baja para lo más tóxico</t>
        </is>
      </c>
      <c r="F12" s="36" t="n"/>
    </row>
    <row r="13">
      <c r="A13" s="6" t="inlineStr">
        <is>
          <t>D10</t>
        </is>
      </c>
      <c r="B13" s="6" t="inlineStr">
        <is>
          <t>¿Cómo se aplica la remoción?</t>
        </is>
      </c>
      <c r="C13" s="7" t="inlineStr">
        <is>
          <t>fraccional · todo o nada · fraccional ponderado</t>
        </is>
      </c>
      <c r="D13" s="7" t="inlineStr">
        <is>
          <t>fraccional</t>
        </is>
      </c>
      <c r="E13" s="7" t="inlineStr">
        <is>
          <t>11 % de hijos de un marcado nacen después de la acción</t>
        </is>
      </c>
      <c r="F13" s="36" t="n"/>
    </row>
    <row r="14">
      <c r="A14" s="6" t="inlineStr">
        <is>
          <t>D11</t>
        </is>
      </c>
      <c r="B14" s="6" t="inlineStr">
        <is>
          <t>¿Qué cuenta como coordinada?</t>
        </is>
      </c>
      <c r="C14" s="7" t="inlineStr">
        <is>
          <t>C2 + cuenta nueva · sólo C2 · por audiencia</t>
        </is>
      </c>
      <c r="D14" s="7" t="inlineStr">
        <is>
          <t>C2 + cuenta nueva</t>
        </is>
      </c>
      <c r="E14" s="7" t="inlineStr">
        <is>
          <t>C2: 42,8 eventos contra ~10; 13 % de cuentas nuevas contra 6 %</t>
        </is>
      </c>
      <c r="F14" s="36" t="n"/>
    </row>
    <row r="15">
      <c r="A15" s="6" t="inlineStr">
        <is>
          <t>D12</t>
        </is>
      </c>
      <c r="B15" s="6" t="inlineStr">
        <is>
          <t>¿Qué baja la degradación?</t>
        </is>
      </c>
      <c r="C15" s="7" t="inlineStr">
        <is>
          <t>factor de impresiones · R de las detectadas · los dos</t>
        </is>
      </c>
      <c r="D15" s="7" t="inlineStr">
        <is>
          <t>sin propuesta</t>
        </is>
      </c>
      <c r="E15" s="7" t="inlineStr"/>
      <c r="F15" s="36" t="n"/>
    </row>
    <row r="16">
      <c r="A16" s="6" t="inlineStr">
        <is>
          <t>D13</t>
        </is>
      </c>
      <c r="B16" s="6" t="inlineStr">
        <is>
          <t>¿Sobre qué actúa el límite de reenvíos?</t>
        </is>
      </c>
      <c r="C16" s="7" t="inlineStr">
        <is>
          <t>por pieza · por generación · por cuenta</t>
        </is>
      </c>
      <c r="D16" s="7" t="inlineStr">
        <is>
          <t>por pieza</t>
        </is>
      </c>
      <c r="E16" s="7" t="inlineStr">
        <is>
          <t>umbral 1–20, reducción 0–0,9</t>
        </is>
      </c>
      <c r="F16" s="36" t="n"/>
    </row>
    <row r="17">
      <c r="A17" s="6" t="inlineStr">
        <is>
          <t>D14</t>
        </is>
      </c>
      <c r="B17" s="6" t="inlineStr">
        <is>
          <t>¿Qué se hace con las cascadas de 500?</t>
        </is>
      </c>
      <c r="C17" s="7" t="inlineStr">
        <is>
          <t>sacarlas y cortar la simulación en 500 · dejarlas</t>
        </is>
      </c>
      <c r="D17" s="7" t="inlineStr">
        <is>
          <t>sacarlas y cortar en 500</t>
        </is>
      </c>
      <c r="E17" s="7" t="inlineStr">
        <is>
          <t>14 cascadas, todas C2</t>
        </is>
      </c>
      <c r="F17" s="36" t="n"/>
    </row>
    <row r="18">
      <c r="A18" s="6" t="inlineStr">
        <is>
          <t>D15</t>
        </is>
      </c>
      <c r="B18" s="6" t="inlineStr">
        <is>
          <t>¿Cómo llegan los rumores?</t>
        </is>
      </c>
      <c r="C18" s="7" t="inlineStr">
        <is>
          <t>exponencial con tasa por hora · tasa constante</t>
        </is>
      </c>
      <c r="D18" s="7" t="inlineStr">
        <is>
          <t>tasa por hora</t>
        </is>
      </c>
      <c r="E18" s="7" t="inlineStr">
        <is>
          <t>hoja 'Llegadas'</t>
        </is>
      </c>
      <c r="F18" s="36" t="n"/>
    </row>
    <row r="19">
      <c r="A19" s="6" t="inlineStr">
        <is>
          <t>D16</t>
        </is>
      </c>
      <c r="B19" s="6" t="inlineStr">
        <is>
          <t>¿Cómo se sortean los hijos?</t>
        </is>
      </c>
      <c r="C19" s="7" t="inlineStr">
        <is>
          <t>Poisson(Λ) por generación · binomial negativa</t>
        </is>
      </c>
      <c r="D19" s="7" t="inlineStr">
        <is>
          <t>Poisson, y medir</t>
        </is>
      </c>
      <c r="E19" s="7" t="inlineStr">
        <is>
          <t>varianza / media 5,1; p99 188</t>
        </is>
      </c>
      <c r="F19" s="36" t="n"/>
    </row>
    <row r="20">
      <c r="A20" s="6" t="inlineStr">
        <is>
          <t>D17</t>
        </is>
      </c>
      <c r="B20" s="6" t="inlineStr">
        <is>
          <t>¿De qué tipos es el frente hijo?</t>
        </is>
      </c>
      <c r="C20" s="7" t="inlineStr">
        <is>
          <t>multinomial fija · condicionada al tipo del padre</t>
        </is>
      </c>
      <c r="D20" s="7" t="inlineStr">
        <is>
          <t>fija, y medir contra p99</t>
        </is>
      </c>
      <c r="E20" s="7" t="inlineStr">
        <is>
          <t>hoja 'Tipos de cuenta'</t>
        </is>
      </c>
      <c r="F20" s="36" t="n"/>
    </row>
    <row r="21">
      <c r="A21" s="6" t="inlineStr">
        <is>
          <t>D18</t>
        </is>
      </c>
      <c r="B21" s="6" t="inlineStr">
        <is>
          <t>¿Decae por generación o por tiempo?</t>
        </is>
      </c>
      <c r="C21" s="7" t="inlineStr">
        <is>
          <t>por generación · por tiempo con vida media</t>
        </is>
      </c>
      <c r="D21" s="7" t="inlineStr">
        <is>
          <t>por generación</t>
        </is>
      </c>
      <c r="E21" s="7" t="inlineStr">
        <is>
          <t>hoja 'Generaciones'; vida media contra tamaño 0,04</t>
        </is>
      </c>
      <c r="F21" s="36" t="n"/>
    </row>
    <row r="22">
      <c r="A22" s="6" t="inlineStr">
        <is>
          <t>D19</t>
        </is>
      </c>
      <c r="B22" s="6" t="inlineStr">
        <is>
          <t>¿Tiempo entre generaciones?</t>
        </is>
      </c>
      <c r="C22" s="7" t="inlineStr">
        <is>
          <t>gamma · exponencial · empírica</t>
        </is>
      </c>
      <c r="D22" s="7" t="inlineStr">
        <is>
          <t>sin propuesta</t>
        </is>
      </c>
      <c r="E22" s="7" t="inlineStr">
        <is>
          <t>hoja 'Ajuste D19': no puede ser Erlang</t>
        </is>
      </c>
      <c r="F22" s="36" t="n"/>
    </row>
    <row r="23">
      <c r="A23" s="6" t="inlineStr">
        <is>
          <t>D20</t>
        </is>
      </c>
      <c r="B23" s="6" t="inlineStr">
        <is>
          <t>¿Cuánto tarda una revisión?</t>
        </is>
      </c>
      <c r="C23" s="7" t="inlineStr">
        <is>
          <t>Erlang(k, ~20 s) · tiempo fijo · sensibilidad</t>
        </is>
      </c>
      <c r="D23" s="7" t="inlineStr">
        <is>
          <t>Erlang(k, ~20 s)</t>
        </is>
      </c>
      <c r="E23" s="7" t="inlineStr">
        <is>
          <t>segundos por ítem en 'A priori'</t>
        </is>
      </c>
      <c r="F23" s="3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2026-09-25T21:43:41Z</dcterms:created>
  <dcterms:modified xsi:type="dcterms:W3CDTF">2026-09-25T21:43:59Z</dcterms:modified>
</cp:coreProperties>
</file>