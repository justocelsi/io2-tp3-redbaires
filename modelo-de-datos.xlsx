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me" sheetId="1" state="visible" r:id="rId1"/>
    <sheet name="Modelo de datos" sheetId="2" state="visible" r:id="rId2"/>
    <sheet name="Parámetros CSV" sheetId="3" state="visible" r:id="rId3"/>
    <sheet name="Llegadas" sheetId="4" state="visible" r:id="rId4"/>
    <sheet name="Tipos de cuenta" sheetId="5" state="visible" r:id="rId5"/>
    <sheet name="Generaciones" sheetId="6" state="visible" r:id="rId6"/>
    <sheet name="Marca" sheetId="7" state="visible" r:id="rId7"/>
    <sheet name="Ajuste D19" sheetId="8" state="visible" r:id="rId8"/>
    <sheet name="Validación" sheetId="9" state="visible" r:id="rId9"/>
    <sheet name="A priori" sheetId="10" state="visible" r:id="rId10"/>
    <sheet name="Diccionario" sheetId="11" state="visible" r:id="rId11"/>
    <sheet name="Limpieza" sheetId="12" state="visible" r:id="rId12"/>
    <sheet name="Decisiones" sheetId="13" state="visible" r:id="rId13"/>
  </sheets>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
    <numFmt numFmtId="167" formatCode="0.000"/>
    <numFmt numFmtId="168" formatCode="#,##0.##"/>
    <numFmt numFmtId="169" formatCode="0.0000"/>
  </numFmts>
  <fonts count="9">
    <font>
      <name val="Calibri"/>
      <family val="2"/>
      <color theme="1"/>
      <sz val="11"/>
      <scheme val="minor"/>
    </font>
    <font>
      <name val="Arial"/>
      <b val="1"/>
      <sz val="14"/>
    </font>
    <font>
      <name val="Arial"/>
      <b val="1"/>
      <sz val="10"/>
    </font>
    <font>
      <name val="Arial"/>
      <sz val="10"/>
    </font>
    <font>
      <name val="Arial"/>
      <b val="1"/>
      <color rgb="00FFFFFF"/>
      <sz val="10"/>
    </font>
    <font>
      <name val="Arial"/>
      <color rgb="000000FF"/>
      <sz val="10"/>
    </font>
    <font>
      <name val="Arial"/>
      <i val="1"/>
      <color rgb="00555555"/>
      <sz val="9"/>
    </font>
    <font>
      <name val="Arial"/>
      <color rgb="00008000"/>
      <sz val="10"/>
    </font>
    <font>
      <name val="Courier New"/>
      <color rgb="0028497B"/>
      <sz val="10"/>
    </font>
  </fonts>
  <fills count="4">
    <fill>
      <patternFill/>
    </fill>
    <fill>
      <patternFill patternType="gray125"/>
    </fill>
    <fill>
      <patternFill patternType="solid">
        <fgColor rgb="0028497B"/>
      </patternFill>
    </fill>
    <fill>
      <patternFill patternType="solid">
        <fgColor rgb="00FFFF00"/>
      </patternFill>
    </fill>
  </fills>
  <borders count="3">
    <border>
      <left/>
      <right/>
      <top/>
      <bottom/>
      <diagonal/>
    </border>
    <border>
      <bottom style="thin">
        <color rgb="00CFD7E1"/>
      </bottom>
    </border>
    <border>
      <left style="thin">
        <color rgb="00BFBFBF"/>
      </left>
      <right style="thin">
        <color rgb="00BFBFBF"/>
      </right>
      <top style="thin">
        <color rgb="00BFBFBF"/>
      </top>
      <bottom style="thin">
        <color rgb="00BFBFBF"/>
      </bottom>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4" fillId="2" borderId="0"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2" fontId="7" fillId="0" borderId="1" applyAlignment="1" pivotButton="0" quotePrefix="0" xfId="0">
      <alignment vertical="top" wrapText="1"/>
    </xf>
    <xf numFmtId="2" fontId="3" fillId="0" borderId="1" applyAlignment="1" pivotButton="0" quotePrefix="0" xfId="0">
      <alignment vertical="top" wrapText="1"/>
    </xf>
    <xf numFmtId="164" fontId="3" fillId="0" borderId="1" applyAlignment="1" pivotButton="0" quotePrefix="0" xfId="0">
      <alignment vertical="top" wrapText="1"/>
    </xf>
    <xf numFmtId="164" fontId="7" fillId="0" borderId="1" applyAlignment="1" pivotButton="0" quotePrefix="0" xfId="0">
      <alignment vertical="top" wrapText="1"/>
    </xf>
    <xf numFmtId="164" fontId="5" fillId="0" borderId="1" applyAlignment="1" pivotButton="0" quotePrefix="0" xfId="0">
      <alignment vertical="top" wrapText="1"/>
    </xf>
    <xf numFmtId="165" fontId="7" fillId="0" borderId="1" applyAlignment="1" pivotButton="0" quotePrefix="0" xfId="0">
      <alignment vertical="top" wrapText="1"/>
    </xf>
    <xf numFmtId="0" fontId="5" fillId="0" borderId="1" applyAlignment="1" pivotButton="0" quotePrefix="0" xfId="0">
      <alignment vertical="top" wrapText="1"/>
    </xf>
    <xf numFmtId="0" fontId="5" fillId="0" borderId="0" pivotButton="0" quotePrefix="0" xfId="0"/>
    <xf numFmtId="3" fontId="5"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0" fontId="4" fillId="2" borderId="0" pivotButton="0" quotePrefix="0" xfId="0"/>
    <xf numFmtId="166" fontId="3" fillId="0" borderId="1" applyAlignment="1" pivotButton="0" quotePrefix="0" xfId="0">
      <alignment vertical="top" wrapText="1"/>
    </xf>
    <xf numFmtId="165" fontId="5" fillId="0" borderId="1" applyAlignment="1" pivotButton="0" quotePrefix="0" xfId="0">
      <alignment vertical="top" wrapText="1"/>
    </xf>
    <xf numFmtId="2" fontId="5" fillId="0" borderId="1" applyAlignment="1" pivotButton="0" quotePrefix="0" xfId="0">
      <alignment vertical="top" wrapText="1"/>
    </xf>
    <xf numFmtId="3" fontId="3" fillId="0" borderId="1" applyAlignment="1" pivotButton="0" quotePrefix="0" xfId="0">
      <alignment vertical="top" wrapText="1"/>
    </xf>
    <xf numFmtId="165" fontId="2" fillId="0" borderId="1" applyAlignment="1" pivotButton="0" quotePrefix="0" xfId="0">
      <alignment vertical="top" wrapText="1"/>
    </xf>
    <xf numFmtId="167" fontId="2" fillId="0" borderId="1" applyAlignment="1" pivotButton="0" quotePrefix="0" xfId="0">
      <alignment vertical="top" wrapText="1"/>
    </xf>
    <xf numFmtId="1" fontId="3" fillId="0" borderId="1" applyAlignment="1" pivotButton="0" quotePrefix="0" xfId="0">
      <alignment vertical="top" wrapText="1"/>
    </xf>
    <xf numFmtId="167" fontId="5" fillId="0" borderId="1" applyAlignment="1" pivotButton="0" quotePrefix="0" xfId="0">
      <alignment vertical="top" wrapText="1"/>
    </xf>
    <xf numFmtId="0" fontId="6" fillId="0" borderId="1" applyAlignment="1" pivotButton="0" quotePrefix="0" xfId="0">
      <alignment vertical="top" wrapText="1"/>
    </xf>
    <xf numFmtId="168" fontId="5" fillId="0" borderId="1" applyAlignment="1" pivotButton="0" quotePrefix="0" xfId="0">
      <alignment vertical="top" wrapText="1"/>
    </xf>
    <xf numFmtId="1" fontId="7" fillId="0" borderId="1" applyAlignment="1" pivotButton="0" quotePrefix="0" xfId="0">
      <alignment vertical="top" wrapText="1"/>
    </xf>
    <xf numFmtId="166" fontId="7" fillId="0" borderId="1" applyAlignment="1" pivotButton="0" quotePrefix="0" xfId="0">
      <alignment vertical="top" wrapText="1"/>
    </xf>
    <xf numFmtId="165" fontId="3" fillId="0" borderId="1" applyAlignment="1" pivotButton="0" quotePrefix="0" xfId="0">
      <alignment vertical="top" wrapText="1"/>
    </xf>
    <xf numFmtId="169" fontId="7" fillId="0" borderId="1" applyAlignment="1" pivotButton="0" quotePrefix="0" xfId="0">
      <alignment vertical="top" wrapText="1"/>
    </xf>
    <xf numFmtId="169" fontId="3" fillId="0" borderId="1" applyAlignment="1" pivotButton="0" quotePrefix="0" xfId="0">
      <alignment vertical="top" wrapText="1"/>
    </xf>
    <xf numFmtId="0" fontId="8" fillId="0" borderId="1" applyAlignment="1" pivotButton="0" quotePrefix="0" xfId="0">
      <alignment vertical="top" wrapText="1"/>
    </xf>
    <xf numFmtId="0" fontId="3" fillId="3" borderId="1" applyAlignment="1" pivotButton="0" quotePrefix="0" xfId="0">
      <alignment vertical="top" wrapText="1"/>
    </xf>
    <xf numFmtId="164" fontId="3" fillId="0" borderId="1" applyAlignment="1" pivotButton="0" quotePrefix="0" xfId="0">
      <alignment vertical="top" wrapText="1"/>
    </xf>
    <xf numFmtId="164" fontId="7" fillId="0" borderId="1" applyAlignment="1" pivotButton="0" quotePrefix="0" xfId="0">
      <alignment vertical="top" wrapText="1"/>
    </xf>
    <xf numFmtId="164" fontId="5" fillId="0" borderId="1" applyAlignment="1" pivotButton="0" quotePrefix="0" xfId="0">
      <alignment vertical="top" wrapText="1"/>
    </xf>
    <xf numFmtId="166" fontId="3" fillId="0" borderId="1" applyAlignment="1" pivotButton="0" quotePrefix="0" xfId="0">
      <alignment vertical="top" wrapText="1"/>
    </xf>
    <xf numFmtId="167" fontId="2" fillId="0" borderId="1" applyAlignment="1" pivotButton="0" quotePrefix="0" xfId="0">
      <alignment vertical="top" wrapText="1"/>
    </xf>
    <xf numFmtId="167" fontId="5" fillId="0" borderId="1" applyAlignment="1" pivotButton="0" quotePrefix="0" xfId="0">
      <alignment vertical="top" wrapText="1"/>
    </xf>
    <xf numFmtId="168" fontId="5" fillId="0" borderId="1" applyAlignment="1" pivotButton="0" quotePrefix="0" xfId="0">
      <alignment vertical="top" wrapText="1"/>
    </xf>
    <xf numFmtId="166" fontId="7" fillId="0" borderId="1" applyAlignment="1" pivotButton="0" quotePrefix="0" xfId="0">
      <alignment vertical="top" wrapText="1"/>
    </xf>
    <xf numFmtId="169" fontId="7" fillId="0" borderId="1" applyAlignment="1" pivotButton="0" quotePrefix="0" xfId="0">
      <alignment vertical="top" wrapText="1"/>
    </xf>
    <xf numFmtId="169" fontId="3" fillId="0" borderId="1" applyAlignment="1" pivotButton="0" quotePrefix="0" xfId="0">
      <alignment vertical="top" wrapText="1"/>
    </xf>
    <xf numFmtId="0" fontId="8" fillId="0" borderId="2" applyAlignment="1" pivotButton="0" quotePrefix="0" xfId="0">
      <alignment vertical="top" wrapText="1"/>
    </xf>
    <xf numFmtId="0" fontId="3" fillId="0" borderId="2" applyAlignment="1" pivotButton="0" quotePrefix="0" xfId="0">
      <alignment vertical="top" wrapText="1"/>
    </xf>
    <xf numFmtId="0" fontId="5" fillId="0" borderId="2" applyAlignment="1" pivotButton="0" quotePrefix="0" xfId="0">
      <alignment vertical="top" wrapText="1"/>
    </xf>
    <xf numFmtId="3" fontId="5" fillId="0" borderId="2" applyAlignment="1" pivotButton="0" quotePrefix="0" xfId="0">
      <alignment vertical="top" wrapText="1"/>
    </xf>
    <xf numFmtId="165" fontId="5"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TP3</author>
  </authors>
  <commentList>
    <comment ref="C3" authorId="0" shapeId="0">
      <text>
        <t>Primera semilla 1/3/2025, última 27/8/2025 (sin las fechas en 2099).</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18"/>
  <sheetViews>
    <sheetView showGridLines="0" workbookViewId="0">
      <selection activeCell="A1" sqref="A1"/>
    </sheetView>
  </sheetViews>
  <sheetFormatPr baseColWidth="8" defaultRowHeight="15"/>
  <cols>
    <col width="20" customWidth="1" min="1" max="1"/>
    <col width="110" customWidth="1" min="2" max="2"/>
  </cols>
  <sheetData>
    <row r="1">
      <c r="A1" s="1" t="inlineStr">
        <is>
          <t>TP3 IO II · RedBaires · modelo de datos</t>
        </is>
      </c>
    </row>
    <row r="3">
      <c r="A3" s="2" t="inlineStr">
        <is>
          <t>Nombres</t>
        </is>
      </c>
      <c r="B3" s="3" t="inlineStr">
        <is>
          <t>La entidad es la publicación (la pieza original, message_id). Publicar es el evento que la crea. Cascada es el árbol de reenvíos de una publicación, como en el dataset.</t>
        </is>
      </c>
    </row>
    <row r="4">
      <c r="A4" s="2" t="inlineStr">
        <is>
          <t>Estado</t>
        </is>
      </c>
      <c r="B4" s="3" t="inlineStr">
        <is>
          <t>25/9/2026. Todo sale de muestra_cascadas_REDBAIRES.csv sin las 132 filas duplicadas y de parametros_y_costos.csv.</t>
        </is>
      </c>
    </row>
    <row r="5">
      <c r="A5" s="2" t="inlineStr">
        <is>
          <t>Base de las medias</t>
        </is>
      </c>
      <c r="B5" s="3" t="inlineStr">
        <is>
          <t>Las medias de hijos (R) excluyen las 14 cascadas cortadas en 500 eventos (D14), así que algunas difieren un poco de las del README.</t>
        </is>
      </c>
    </row>
    <row r="6">
      <c r="A6" s="2" t="inlineStr">
        <is>
          <t>Colores</t>
        </is>
      </c>
      <c r="B6" s="3" t="inlineStr">
        <is>
          <t>Azul: dato medido o del CSV, cargado a mano. Negro: fórmula. Verde: fórmula que trae un valor de otra hoja. Amarillo: para completar por el grupo.</t>
        </is>
      </c>
    </row>
    <row r="7">
      <c r="A7" s="2" t="inlineStr">
        <is>
          <t>Modelo de datos</t>
        </is>
      </c>
      <c r="B7" s="3" t="inlineStr">
        <is>
          <t>La tabla con el formato de la clase 06: variable, U.M., valor, tipo de función, parámetros y relación. Una fila por elemento del modelo conceptual.</t>
        </is>
      </c>
    </row>
    <row r="8">
      <c r="A8" s="2" t="inlineStr">
        <is>
          <t>Parámetros CSV</t>
        </is>
      </c>
      <c r="B8" s="3" t="inlineStr">
        <is>
          <t>parametros_y_costos.csv tal cual, con valor base y rango.</t>
        </is>
      </c>
    </row>
    <row r="9">
      <c r="A9" s="2" t="inlineStr">
        <is>
          <t>Llegadas</t>
        </is>
      </c>
      <c r="B9" s="3" t="inlineStr">
        <is>
          <t>Semillas por hora del día y por día de la semana, y la tasa por hora que sale de ahí.</t>
        </is>
      </c>
    </row>
    <row r="10">
      <c r="A10" s="2" t="inlineStr">
        <is>
          <t>Tipos de cuenta</t>
        </is>
      </c>
      <c r="B10" s="3" t="inlineStr">
        <is>
          <t>Mezcla de tipos en semillas y en reenvíos, hijos medios (R) y seguidores por tipo.</t>
        </is>
      </c>
    </row>
    <row r="11">
      <c r="A11" s="2" t="inlineStr">
        <is>
          <t>Generaciones</t>
        </is>
      </c>
      <c r="B11" s="3" t="inlineStr">
        <is>
          <t>Hijos medios por generación: el decaimiento (D18).</t>
        </is>
      </c>
    </row>
    <row r="12">
      <c r="A12" s="2" t="inlineStr">
        <is>
          <t>Marca</t>
        </is>
      </c>
      <c r="B12" s="3" t="inlineStr">
        <is>
          <t>Probabilidad de que Centinela marque, por tema y quintil de toxicidad.</t>
        </is>
      </c>
    </row>
    <row r="13">
      <c r="A13" s="2" t="inlineStr">
        <is>
          <t>Ajuste D19</t>
        </is>
      </c>
      <c r="B13" s="3" t="inlineStr">
        <is>
          <t>Ajuste de distribuciones al tiempo entre generaciones.</t>
        </is>
      </c>
    </row>
    <row r="14">
      <c r="A14" s="2" t="inlineStr">
        <is>
          <t>Validación</t>
        </is>
      </c>
      <c r="B14" s="3" t="inlineStr">
        <is>
          <t>Los números que el simulador tiene que reproducir.</t>
        </is>
      </c>
    </row>
    <row r="15">
      <c r="A15" s="2" t="inlineStr">
        <is>
          <t>A priori</t>
        </is>
      </c>
      <c r="B15" s="3" t="inlineStr">
        <is>
          <t>Cuentas sin simular: tamaño esperado, ocupación del moderador y tipo de cambio. Son fórmulas sobre las otras hojas.</t>
        </is>
      </c>
    </row>
    <row r="16">
      <c r="A16" s="2" t="inlineStr">
        <is>
          <t>Diccionario</t>
        </is>
      </c>
      <c r="B16" s="3" t="inlineStr">
        <is>
          <t>Qué es cada columna de la muestra y cómo lo sabemos. Ampliado el 29/9/2026: tipo, unidad, rango, faltantes, suciedad, relaciones, uso y decisión de cada columna.</t>
        </is>
      </c>
    </row>
    <row r="17">
      <c r="A17" s="2" t="inlineStr">
        <is>
          <t>Limpieza</t>
        </is>
      </c>
      <c r="B17" s="3" t="inlineStr">
        <is>
          <t>Lo sucio de la muestra.</t>
        </is>
      </c>
    </row>
    <row r="18">
      <c r="A18" s="2" t="inlineStr">
        <is>
          <t>Decisiones</t>
        </is>
      </c>
      <c r="B18" s="3" t="inlineStr">
        <is>
          <t>D1 a D20, como en el README y el artifact. La columna amarilla es para lo que elija el grupo.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showGridLines="0" workbookViewId="0">
      <pane ySplit="3" topLeftCell="A4" activePane="bottomLeft" state="frozen"/>
      <selection pane="bottomLeft" activeCell="A1" sqref="A1"/>
    </sheetView>
  </sheetViews>
  <sheetFormatPr baseColWidth="8" defaultRowHeight="15"/>
  <cols>
    <col width="14" customWidth="1" min="1" max="1"/>
    <col width="30" customWidth="1" min="2" max="2"/>
    <col width="44" customWidth="1" min="3" max="3"/>
    <col width="14" customWidth="1" min="4" max="4"/>
    <col width="12" customWidth="1" min="5" max="5"/>
    <col width="18" customWidth="1" min="6" max="6"/>
    <col width="40" customWidth="1" min="7" max="7"/>
    <col width="34" customWidth="1" min="8" max="8"/>
    <col width="22" customWidth="1" min="9" max="9"/>
  </cols>
  <sheetData>
    <row r="1">
      <c r="A1" s="1" t="inlineStr">
        <is>
          <t>Modelo de datos</t>
        </is>
      </c>
    </row>
    <row r="2">
      <c r="A2" s="4" t="inlineStr">
        <is>
          <t>Formato de la clase 06: la cuantificación de cada elemento definido en el modelo conceptual. Los valores verdes vienen de las otras hojas.</t>
        </is>
      </c>
    </row>
    <row r="3">
      <c r="A3" s="5" t="inlineStr">
        <is>
          <t>Elemento</t>
        </is>
      </c>
      <c r="B3" s="5" t="inlineStr">
        <is>
          <t>Variable</t>
        </is>
      </c>
      <c r="C3" s="5" t="inlineStr">
        <is>
          <t>Descripción</t>
        </is>
      </c>
      <c r="D3" s="5" t="inlineStr">
        <is>
          <t>U.M.</t>
        </is>
      </c>
      <c r="E3" s="5" t="inlineStr">
        <is>
          <t>Valor</t>
        </is>
      </c>
      <c r="F3" s="5" t="inlineStr">
        <is>
          <t>Tipo de función</t>
        </is>
      </c>
      <c r="G3" s="5" t="inlineStr">
        <is>
          <t>Parámetros</t>
        </is>
      </c>
      <c r="H3" s="5" t="inlineStr">
        <is>
          <t>Relación / Expresión</t>
        </is>
      </c>
      <c r="I3" s="5" t="inlineStr">
        <is>
          <t>Estado</t>
        </is>
      </c>
    </row>
    <row r="4">
      <c r="A4" s="6" t="inlineStr">
        <is>
          <t>Evento</t>
        </is>
      </c>
      <c r="B4" s="7" t="inlineStr">
        <is>
          <t>Publicar</t>
        </is>
      </c>
      <c r="C4" s="7" t="inlineStr">
        <is>
          <t>llega un rumor nuevo: crea la publicación. Tiempo entre semillas</t>
        </is>
      </c>
      <c r="D4" s="7" t="inlineStr">
        <is>
          <t>1/hora</t>
        </is>
      </c>
      <c r="E4" s="8">
        <f>Llegadas!$C$30</f>
        <v/>
      </c>
      <c r="F4" s="7" t="inlineStr">
        <is>
          <t>Exponencial</t>
        </is>
      </c>
      <c r="G4" s="7" t="inlineStr">
        <is>
          <t>λ según la hora del día: hoja Llegadas</t>
        </is>
      </c>
      <c r="H4" s="7" t="inlineStr"/>
      <c r="I4" s="7" t="inlineStr">
        <is>
          <t>propuesta · D15</t>
        </is>
      </c>
    </row>
    <row r="5">
      <c r="A5" s="6" t="inlineStr">
        <is>
          <t>Atributo</t>
        </is>
      </c>
      <c r="B5" s="7" t="inlineStr">
        <is>
          <t>Tipo de cuenta de la semilla</t>
        </is>
      </c>
      <c r="C5" s="7" t="inlineStr">
        <is>
          <t>con qué cuenta se publica</t>
        </is>
      </c>
      <c r="D5" s="7" t="inlineStr">
        <is>
          <t>tipo</t>
        </is>
      </c>
      <c r="E5" s="9" t="n"/>
      <c r="F5" s="7" t="inlineStr">
        <is>
          <t>Discreta</t>
        </is>
      </c>
      <c r="G5" s="7" t="inlineStr">
        <is>
          <t>BROADCASTER 12 % · CREATOR 17 % · AGGREGATOR 18 % · LURKER 15 % · STANDARD 39 %</t>
        </is>
      </c>
      <c r="H5" s="7" t="inlineStr"/>
      <c r="I5" s="7" t="inlineStr">
        <is>
          <t>medido</t>
        </is>
      </c>
    </row>
    <row r="6">
      <c r="A6" s="6" t="inlineStr">
        <is>
          <t>Atributo</t>
        </is>
      </c>
      <c r="B6" s="7" t="inlineStr">
        <is>
          <t>Frente n[tipo]</t>
        </is>
      </c>
      <c r="C6" s="7" t="inlineStr">
        <is>
          <t>reenvíos vivos de cada tipo en la generación g</t>
        </is>
      </c>
      <c r="D6" s="7" t="inlineStr">
        <is>
          <t>reenvíos</t>
        </is>
      </c>
      <c r="E6" s="37" t="n"/>
      <c r="F6" s="7" t="inlineStr">
        <is>
          <t>Multinomial</t>
        </is>
      </c>
      <c r="G6" s="7" t="inlineStr">
        <is>
          <t>mezcla de reenvíos: hoja Tipos de cuenta</t>
        </is>
      </c>
      <c r="H6" s="7" t="inlineStr"/>
      <c r="I6" s="7" t="inlineStr">
        <is>
          <t>propuesta · D17</t>
        </is>
      </c>
    </row>
    <row r="7">
      <c r="A7" s="6" t="inlineStr">
        <is>
          <t>Actividad</t>
        </is>
      </c>
      <c r="B7" s="7" t="inlineStr">
        <is>
          <t>Hijos del frente</t>
        </is>
      </c>
      <c r="C7" s="7" t="inlineStr">
        <is>
          <t>reenvíos que genera el frente</t>
        </is>
      </c>
      <c r="D7" s="7" t="inlineStr">
        <is>
          <t>reenvíos</t>
        </is>
      </c>
      <c r="E7" s="38">
        <f>'Tipos de cuenta'!$D$9</f>
        <v/>
      </c>
      <c r="F7" s="7" t="inlineStr">
        <is>
          <t>Poisson</t>
        </is>
      </c>
      <c r="G7" s="7" t="inlineStr">
        <is>
          <t>Λ</t>
        </is>
      </c>
      <c r="H7" s="7" t="inlineStr">
        <is>
          <t>Λ = Σ nᵢ · Rᵢ · δ(g)</t>
        </is>
      </c>
      <c r="I7" s="7" t="inlineStr">
        <is>
          <t>propuesta · D16</t>
        </is>
      </c>
    </row>
    <row r="8">
      <c r="A8" s="6" t="inlineStr">
        <is>
          <t>Parámetro</t>
        </is>
      </c>
      <c r="B8" s="7" t="inlineStr">
        <is>
          <t>R BROADCASTER</t>
        </is>
      </c>
      <c r="C8" s="7" t="inlineStr">
        <is>
          <t>hijos medios por evento</t>
        </is>
      </c>
      <c r="D8" s="7" t="inlineStr">
        <is>
          <t>hijos</t>
        </is>
      </c>
      <c r="E8" s="8">
        <f>'Tipos de cuenta'!$D$4</f>
        <v/>
      </c>
      <c r="F8" s="7" t="inlineStr"/>
      <c r="G8" s="7" t="inlineStr"/>
      <c r="H8" s="7" t="inlineStr"/>
      <c r="I8" s="7" t="inlineStr">
        <is>
          <t>medido</t>
        </is>
      </c>
    </row>
    <row r="9">
      <c r="A9" s="6" t="inlineStr">
        <is>
          <t>Parámetro</t>
        </is>
      </c>
      <c r="B9" s="7" t="inlineStr">
        <is>
          <t>R CREATOR</t>
        </is>
      </c>
      <c r="C9" s="7" t="inlineStr">
        <is>
          <t>hijos medios por evento</t>
        </is>
      </c>
      <c r="D9" s="7" t="inlineStr">
        <is>
          <t>hijos</t>
        </is>
      </c>
      <c r="E9" s="8">
        <f>'Tipos de cuenta'!$D$5</f>
        <v/>
      </c>
      <c r="F9" s="7" t="inlineStr"/>
      <c r="G9" s="7" t="inlineStr"/>
      <c r="H9" s="7" t="inlineStr"/>
      <c r="I9" s="7" t="inlineStr">
        <is>
          <t>medido</t>
        </is>
      </c>
    </row>
    <row r="10">
      <c r="A10" s="6" t="inlineStr">
        <is>
          <t>Parámetro</t>
        </is>
      </c>
      <c r="B10" s="7" t="inlineStr">
        <is>
          <t>R AGGREGATOR · LURKER · STANDARD</t>
        </is>
      </c>
      <c r="C10" s="7" t="inlineStr">
        <is>
          <t>hijos medios por evento</t>
        </is>
      </c>
      <c r="D10" s="7" t="inlineStr">
        <is>
          <t>hijos</t>
        </is>
      </c>
      <c r="E10" s="8">
        <f>'Tipos de cuenta'!$D$8</f>
        <v/>
      </c>
      <c r="F10" s="7" t="inlineStr"/>
      <c r="G10" s="7" t="inlineStr">
        <is>
          <t>los tres ~0,59</t>
        </is>
      </c>
      <c r="H10" s="7" t="inlineStr"/>
      <c r="I10" s="7" t="inlineStr">
        <is>
          <t>medido</t>
        </is>
      </c>
    </row>
    <row r="11">
      <c r="A11" s="6" t="inlineStr">
        <is>
          <t>Parámetro</t>
        </is>
      </c>
      <c r="B11" s="7" t="inlineStr">
        <is>
          <t>δ(g)</t>
        </is>
      </c>
      <c r="C11" s="7" t="inlineStr">
        <is>
          <t>decaimiento por generación</t>
        </is>
      </c>
      <c r="D11" s="7" t="inlineStr">
        <is>
          <t>factor</t>
        </is>
      </c>
      <c r="E11" s="9" t="n"/>
      <c r="F11" s="7" t="inlineStr">
        <is>
          <t>Tabla</t>
        </is>
      </c>
      <c r="G11" s="7" t="inlineStr">
        <is>
          <t>hoja Generaciones: de 2,35 en g=0 a 0,37 en g=11</t>
        </is>
      </c>
      <c r="H11" s="7" t="inlineStr"/>
      <c r="I11" s="7" t="inlineStr">
        <is>
          <t>propuesta · D18</t>
        </is>
      </c>
    </row>
    <row r="12">
      <c r="A12" s="6" t="inlineStr">
        <is>
          <t>Atributo</t>
        </is>
      </c>
      <c r="B12" s="7" t="inlineStr">
        <is>
          <t>Seguidores</t>
        </is>
      </c>
      <c r="C12" s="7" t="inlineStr">
        <is>
          <t>audiencia de quien reenvía</t>
        </is>
      </c>
      <c r="D12" s="7" t="inlineStr">
        <is>
          <t>seguidores</t>
        </is>
      </c>
      <c r="E12" s="9" t="n"/>
      <c r="F12" s="7" t="inlineStr">
        <is>
          <t>Empírica por tipo</t>
        </is>
      </c>
      <c r="G12" s="7" t="inlineStr">
        <is>
          <t>mediana: BROADCASTER 422 mil · CREATOR 101 mil · resto ~410</t>
        </is>
      </c>
      <c r="H12" s="7" t="inlineStr"/>
      <c r="I12" s="7" t="inlineStr">
        <is>
          <t>medido</t>
        </is>
      </c>
    </row>
    <row r="13">
      <c r="A13" s="6" t="inlineStr">
        <is>
          <t>Actividad</t>
        </is>
      </c>
      <c r="B13" s="7" t="inlineStr">
        <is>
          <t>Impresiones</t>
        </is>
      </c>
      <c r="C13" s="7" t="inlineStr">
        <is>
          <t>cuántos ven el reenvío</t>
        </is>
      </c>
      <c r="D13" s="7" t="inlineStr">
        <is>
          <t>impresiones</t>
        </is>
      </c>
      <c r="E13" s="8">
        <f>'A priori'!$C$5</f>
        <v/>
      </c>
      <c r="F13" s="7" t="inlineStr">
        <is>
          <t>Determinística</t>
        </is>
      </c>
      <c r="G13" s="7" t="inlineStr"/>
      <c r="H13" s="7" t="inlineStr">
        <is>
          <t>impresiones = 0,15 × seguidores</t>
        </is>
      </c>
      <c r="I13" s="7" t="inlineStr">
        <is>
          <t>medido</t>
        </is>
      </c>
    </row>
    <row r="14">
      <c r="A14" s="6" t="inlineStr">
        <is>
          <t>Actividad</t>
        </is>
      </c>
      <c r="B14" s="7" t="inlineStr">
        <is>
          <t>Tiempo entre generaciones</t>
        </is>
      </c>
      <c r="C14" s="7" t="inlineStr">
        <is>
          <t>demora hasta el frente siguiente</t>
        </is>
      </c>
      <c r="D14" s="7" t="inlineStr">
        <is>
          <t>min</t>
        </is>
      </c>
      <c r="E14" s="39" t="n">
        <v>43</v>
      </c>
      <c r="F14" s="7" t="inlineStr">
        <is>
          <t>Gamma</t>
        </is>
      </c>
      <c r="G14" s="7" t="inlineStr">
        <is>
          <t>forma 0,55 · escala 128 min</t>
        </is>
      </c>
      <c r="H14" s="7" t="inlineStr"/>
      <c r="I14" s="7" t="inlineStr">
        <is>
          <t>abierta · D19</t>
        </is>
      </c>
    </row>
    <row r="15">
      <c r="A15" s="6" t="inlineStr">
        <is>
          <t>Evento</t>
        </is>
      </c>
      <c r="B15" s="7" t="inlineStr">
        <is>
          <t>Marca de Centinela</t>
        </is>
      </c>
      <c r="C15" s="7" t="inlineStr">
        <is>
          <t>si el reenvío entra a la cola</t>
        </is>
      </c>
      <c r="D15" s="7" t="inlineStr">
        <is>
          <t>prob.</t>
        </is>
      </c>
      <c r="E15" s="13">
        <f>Marca!$B$9</f>
        <v/>
      </c>
      <c r="F15" s="7" t="inlineStr">
        <is>
          <t>Bernoulli</t>
        </is>
      </c>
      <c r="G15" s="7" t="inlineStr">
        <is>
          <t>p según tema y quintil de toxicidad: hoja Marca</t>
        </is>
      </c>
      <c r="H15" s="7" t="inlineStr"/>
      <c r="I15" s="7" t="inlineStr">
        <is>
          <t>propuesta</t>
        </is>
      </c>
    </row>
    <row r="16">
      <c r="A16" s="6" t="inlineStr">
        <is>
          <t>Atributo</t>
        </is>
      </c>
      <c r="B16" s="7" t="inlineStr">
        <is>
          <t>Nocivo</t>
        </is>
      </c>
      <c r="C16" s="7" t="inlineStr">
        <is>
          <t>si la impresión cuesta o rinde</t>
        </is>
      </c>
      <c r="D16" s="7" t="inlineStr">
        <is>
          <t>sí / no</t>
        </is>
      </c>
      <c r="E16" s="9" t="n"/>
      <c r="F16" s="7" t="inlineStr"/>
      <c r="G16" s="7" t="inlineStr"/>
      <c r="H16" s="7" t="inlineStr">
        <is>
          <t>tema DISARM</t>
        </is>
      </c>
      <c r="I16" s="7" t="inlineStr">
        <is>
          <t>abierta · D8</t>
        </is>
      </c>
    </row>
    <row r="17">
      <c r="A17" s="6" t="inlineStr">
        <is>
          <t>Atributo</t>
        </is>
      </c>
      <c r="B17" s="7" t="inlineStr">
        <is>
          <t>Coordinada</t>
        </is>
      </c>
      <c r="C17" s="7" t="inlineStr">
        <is>
          <t>si la cascada es de campaña</t>
        </is>
      </c>
      <c r="D17" s="7" t="inlineStr">
        <is>
          <t>sí / no</t>
        </is>
      </c>
      <c r="E17" s="9" t="n"/>
      <c r="F17" s="7" t="inlineStr">
        <is>
          <t>Bernoulli</t>
        </is>
      </c>
      <c r="G17" s="7" t="inlineStr">
        <is>
          <t>precisión y recall de la detección</t>
        </is>
      </c>
      <c r="H17" s="7" t="inlineStr">
        <is>
          <t>sufijo C2 + cuenta nueva</t>
        </is>
      </c>
      <c r="I17" s="7" t="inlineStr">
        <is>
          <t>propuesta · D11</t>
        </is>
      </c>
    </row>
    <row r="18">
      <c r="A18" s="6" t="inlineStr">
        <is>
          <t>Recurso</t>
        </is>
      </c>
      <c r="B18" s="7" t="inlineStr">
        <is>
          <t>Moderadores por turno (c)</t>
        </is>
      </c>
      <c r="C18" s="7" t="inlineStr">
        <is>
          <t>capacidad del único recurso</t>
        </is>
      </c>
      <c r="D18" s="7" t="inlineStr">
        <is>
          <t>moderadores</t>
        </is>
      </c>
      <c r="E18" s="38">
        <f>'Parámetros CSV'!$B$6</f>
        <v/>
      </c>
      <c r="F18" s="7" t="inlineStr">
        <is>
          <t>VD</t>
        </is>
      </c>
      <c r="G18" s="7" t="inlineStr">
        <is>
          <t>rango 1 – 12</t>
        </is>
      </c>
      <c r="H18" s="7" t="inlineStr"/>
      <c r="I18" s="7" t="inlineStr">
        <is>
          <t>del CSV</t>
        </is>
      </c>
    </row>
    <row r="19">
      <c r="A19" s="6" t="inlineStr">
        <is>
          <t>Actividad</t>
        </is>
      </c>
      <c r="B19" s="7" t="inlineStr">
        <is>
          <t>Tiempo de revisión</t>
        </is>
      </c>
      <c r="C19" s="7" t="inlineStr">
        <is>
          <t>atención de un ítem de moderación con k marcados</t>
        </is>
      </c>
      <c r="D19" s="7" t="inlineStr">
        <is>
          <t>seg</t>
        </is>
      </c>
      <c r="E19" s="38">
        <f>'A priori'!$C$13</f>
        <v/>
      </c>
      <c r="F19" s="7" t="inlineStr">
        <is>
          <t>Erlang</t>
        </is>
      </c>
      <c r="G19" s="7" t="inlineStr">
        <is>
          <t>k fases de ~20 s</t>
        </is>
      </c>
      <c r="H19" s="7" t="inlineStr">
        <is>
          <t>20 s = 0,12 USD ÷ 22 USD/h</t>
        </is>
      </c>
      <c r="I19" s="7" t="inlineStr">
        <is>
          <t>propuesta · D20</t>
        </is>
      </c>
    </row>
    <row r="20">
      <c r="A20" s="6" t="inlineStr">
        <is>
          <t>Cola</t>
        </is>
      </c>
      <c r="B20" s="7" t="inlineStr">
        <is>
          <t>Cola de moderación</t>
        </is>
      </c>
      <c r="C20" s="7" t="inlineStr">
        <is>
          <t>ítems marcados esperando</t>
        </is>
      </c>
      <c r="D20" s="7" t="inlineStr">
        <is>
          <t>ítems</t>
        </is>
      </c>
      <c r="E20" s="9" t="n"/>
      <c r="F20" s="7" t="inlineStr">
        <is>
          <t>FIFO</t>
        </is>
      </c>
      <c r="G20" s="7" t="inlineStr">
        <is>
          <t>prioridad como escenario</t>
        </is>
      </c>
      <c r="H20" s="7" t="inlineStr"/>
      <c r="I20" s="7" t="inlineStr">
        <is>
          <t>propuesta · D9</t>
        </is>
      </c>
    </row>
    <row r="21">
      <c r="A21" s="6" t="inlineStr">
        <is>
          <t>Evento</t>
        </is>
      </c>
      <c r="B21" s="7" t="inlineStr">
        <is>
          <t>Remoción</t>
        </is>
      </c>
      <c r="C21" s="7" t="inlineStr">
        <is>
          <t>fracción del frente que se corta</t>
        </is>
      </c>
      <c r="D21" s="7" t="inlineStr">
        <is>
          <t>fracción</t>
        </is>
      </c>
      <c r="E21" s="9" t="n"/>
      <c r="F21" s="7" t="inlineStr">
        <is>
          <t>Bernoulli por ítem</t>
        </is>
      </c>
      <c r="G21" s="7" t="inlineStr">
        <is>
          <t>más baja para verificadas</t>
        </is>
      </c>
      <c r="H21" s="7" t="inlineStr">
        <is>
          <t>frente × (1 − fracción removida)</t>
        </is>
      </c>
      <c r="I21" s="7" t="inlineStr">
        <is>
          <t>propuesta · D10</t>
        </is>
      </c>
    </row>
    <row r="22">
      <c r="A22" s="6" t="inlineStr">
        <is>
          <t>VD</t>
        </is>
      </c>
      <c r="B22" s="7" t="inlineStr">
        <is>
          <t>Límite de reenvíos: umbral</t>
        </is>
      </c>
      <c r="C22" s="7" t="inlineStr">
        <is>
          <t>a partir de qué reenvío actúa</t>
        </is>
      </c>
      <c r="D22" s="7" t="inlineStr">
        <is>
          <t>reenvíos</t>
        </is>
      </c>
      <c r="E22" s="38">
        <f>'Parámetros CSV'!$B$18</f>
        <v/>
      </c>
      <c r="F22" s="7" t="inlineStr">
        <is>
          <t>VD</t>
        </is>
      </c>
      <c r="G22" s="7" t="inlineStr">
        <is>
          <t>rango 1 – 20</t>
        </is>
      </c>
      <c r="H22" s="7" t="inlineStr"/>
      <c r="I22" s="7" t="inlineStr">
        <is>
          <t>del CSV · D13</t>
        </is>
      </c>
    </row>
    <row r="23">
      <c r="A23" s="6" t="inlineStr">
        <is>
          <t>VD</t>
        </is>
      </c>
      <c r="B23" s="7" t="inlineStr">
        <is>
          <t>Límite de reenvíos: reducción</t>
        </is>
      </c>
      <c r="C23" s="7" t="inlineStr">
        <is>
          <t>cuánto baja la descendencia</t>
        </is>
      </c>
      <c r="D23" s="7" t="inlineStr">
        <is>
          <t>fracción</t>
        </is>
      </c>
      <c r="E23" s="8">
        <f>'Parámetros CSV'!$B$17</f>
        <v/>
      </c>
      <c r="F23" s="7" t="inlineStr">
        <is>
          <t>VD</t>
        </is>
      </c>
      <c r="G23" s="7" t="inlineStr">
        <is>
          <t>rango 0 – 0,9</t>
        </is>
      </c>
      <c r="H23" s="7" t="inlineStr">
        <is>
          <t>Λ × (1 − reducción)</t>
        </is>
      </c>
      <c r="I23" s="7" t="inlineStr">
        <is>
          <t>del CSV</t>
        </is>
      </c>
    </row>
    <row r="24">
      <c r="A24" s="6" t="inlineStr">
        <is>
          <t>Parámetro</t>
        </is>
      </c>
      <c r="B24" s="7" t="inlineStr">
        <is>
          <t>Pérdida de engagement por fricción</t>
        </is>
      </c>
      <c r="C24" s="7" t="inlineStr">
        <is>
          <t>engagement legítimo perdido</t>
        </is>
      </c>
      <c r="D24" s="7" t="inlineStr">
        <is>
          <t>fracción</t>
        </is>
      </c>
      <c r="E24" s="8">
        <f>'Parámetros CSV'!$B$19</f>
        <v/>
      </c>
      <c r="F24" s="7" t="inlineStr"/>
      <c r="G24" s="7" t="inlineStr">
        <is>
          <t>rango 0,02 – 0,5</t>
        </is>
      </c>
      <c r="H24" s="7" t="inlineStr"/>
      <c r="I24" s="7" t="inlineStr">
        <is>
          <t>del CSV</t>
        </is>
      </c>
    </row>
    <row r="25">
      <c r="A25" s="6" t="inlineStr">
        <is>
          <t>VD</t>
        </is>
      </c>
      <c r="B25" s="7" t="inlineStr">
        <is>
          <t>Degradación de alcance</t>
        </is>
      </c>
      <c r="C25" s="7" t="inlineStr">
        <is>
          <t>costo por cuenta degradada</t>
        </is>
      </c>
      <c r="D25" s="7" t="inlineStr">
        <is>
          <t>USD/día</t>
        </is>
      </c>
      <c r="E25" s="38">
        <f>'Parámetros CSV'!$B$20</f>
        <v/>
      </c>
      <c r="F25" s="7" t="inlineStr">
        <is>
          <t>VD</t>
        </is>
      </c>
      <c r="G25" s="7" t="inlineStr">
        <is>
          <t>rango 20 – 600</t>
        </is>
      </c>
      <c r="H25" s="7" t="inlineStr"/>
      <c r="I25" s="7" t="inlineStr">
        <is>
          <t>del CSV · D12</t>
        </is>
      </c>
    </row>
    <row r="26">
      <c r="A26" s="6" t="inlineStr">
        <is>
          <t>VD</t>
        </is>
      </c>
      <c r="B26" s="7" t="inlineStr">
        <is>
          <t>Clasificador: precisión</t>
        </is>
      </c>
      <c r="C26" s="7" t="inlineStr">
        <is>
          <t>fracción de marcas correctas</t>
        </is>
      </c>
      <c r="D26" s="7" t="inlineStr">
        <is>
          <t>fracción</t>
        </is>
      </c>
      <c r="E26" s="8">
        <f>'Parámetros CSV'!$B$13</f>
        <v/>
      </c>
      <c r="F26" s="7" t="inlineStr">
        <is>
          <t>VD</t>
        </is>
      </c>
      <c r="G26" s="7" t="inlineStr">
        <is>
          <t>rango 0,5 – 0,95</t>
        </is>
      </c>
      <c r="H26" s="7" t="inlineStr"/>
      <c r="I26" s="7" t="inlineStr">
        <is>
          <t>del CSV</t>
        </is>
      </c>
    </row>
    <row r="27">
      <c r="A27" s="6" t="inlineStr">
        <is>
          <t>VD</t>
        </is>
      </c>
      <c r="B27" s="7" t="inlineStr">
        <is>
          <t>Clasificador: recall</t>
        </is>
      </c>
      <c r="C27" s="7" t="inlineStr">
        <is>
          <t>fracción de nocivos detectados</t>
        </is>
      </c>
      <c r="D27" s="7" t="inlineStr">
        <is>
          <t>fracción</t>
        </is>
      </c>
      <c r="E27" s="8">
        <f>'Parámetros CSV'!$B$14</f>
        <v/>
      </c>
      <c r="F27" s="7" t="inlineStr">
        <is>
          <t>VD</t>
        </is>
      </c>
      <c r="G27" s="7" t="inlineStr">
        <is>
          <t>rango 0,3 – 0,9</t>
        </is>
      </c>
      <c r="H27" s="7" t="inlineStr"/>
      <c r="I27" s="7" t="inlineStr">
        <is>
          <t>del CSV</t>
        </is>
      </c>
    </row>
    <row r="28">
      <c r="A28" s="6" t="inlineStr">
        <is>
          <t>Validación</t>
        </is>
      </c>
      <c r="B28" s="7" t="inlineStr">
        <is>
          <t>Latencia de moderación</t>
        </is>
      </c>
      <c r="C28" s="7" t="inlineStr">
        <is>
          <t>minutos hasta la acción</t>
        </is>
      </c>
      <c r="D28" s="7" t="inlineStr">
        <is>
          <t>min</t>
        </is>
      </c>
      <c r="E28" s="38">
        <f>Validación!$B$15</f>
        <v/>
      </c>
      <c r="F28" s="7" t="inlineStr"/>
      <c r="G28" s="7" t="inlineStr">
        <is>
          <t>piso 90 · p90 381</t>
        </is>
      </c>
      <c r="H28" s="7" t="inlineStr">
        <is>
          <t>salida, no entrada</t>
        </is>
      </c>
      <c r="I28" s="7" t="inlineStr">
        <is>
          <t>medido · D7</t>
        </is>
      </c>
    </row>
    <row r="29">
      <c r="A29" s="6" t="inlineStr">
        <is>
          <t>Validación</t>
        </is>
      </c>
      <c r="B29" s="7" t="inlineStr">
        <is>
          <t>SLA de moderación</t>
        </is>
      </c>
      <c r="C29" s="7" t="inlineStr">
        <is>
          <t>latencia objetivo</t>
        </is>
      </c>
      <c r="D29" s="7" t="inlineStr">
        <is>
          <t>min</t>
        </is>
      </c>
      <c r="E29" s="38">
        <f>'Parámetros CSV'!$B$21</f>
        <v/>
      </c>
      <c r="F29" s="7" t="inlineStr"/>
      <c r="G29" s="7" t="inlineStr">
        <is>
          <t>rango 30 – 720</t>
        </is>
      </c>
      <c r="H29" s="7" t="inlineStr"/>
      <c r="I29" s="7" t="inlineStr">
        <is>
          <t>del CSV</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3" topLeftCell="A4" activePane="bottomLeft" state="frozen"/>
      <selection pane="bottomLeft" activeCell="A1" sqref="A1"/>
    </sheetView>
  </sheetViews>
  <sheetFormatPr baseColWidth="8" defaultRowHeight="15"/>
  <cols>
    <col width="38" customWidth="1" min="1" max="1"/>
    <col width="12" customWidth="1" min="2" max="2"/>
    <col width="16" customWidth="1" min="3" max="3"/>
    <col width="11" customWidth="1" min="4" max="4"/>
    <col width="11" customWidth="1" min="5" max="5"/>
    <col width="80" customWidth="1" min="6" max="6"/>
  </cols>
  <sheetData>
    <row r="1">
      <c r="A1" s="1" t="inlineStr">
        <is>
          <t>Parámetros y costos del CSV de la cátedra</t>
        </is>
      </c>
    </row>
    <row r="3">
      <c r="A3" s="5" t="inlineStr">
        <is>
          <t>Parámetro</t>
        </is>
      </c>
      <c r="B3" s="5" t="inlineStr">
        <is>
          <t>Valor base</t>
        </is>
      </c>
      <c r="C3" s="5" t="inlineStr">
        <is>
          <t>Unidad</t>
        </is>
      </c>
      <c r="D3" s="5" t="inlineStr">
        <is>
          <t>Mínimo</t>
        </is>
      </c>
      <c r="E3" s="5" t="inlineStr">
        <is>
          <t>Máximo</t>
        </is>
      </c>
      <c r="F3" s="5" t="inlineStr">
        <is>
          <t>Comentario del CSV</t>
        </is>
      </c>
    </row>
    <row r="4">
      <c r="A4" s="7" t="inlineStr">
        <is>
          <t>valor_engagement_por_impresion</t>
        </is>
      </c>
      <c r="B4" s="14" t="n">
        <v>0.0009</v>
      </c>
      <c r="C4" s="7" t="inlineStr">
        <is>
          <t>USD/impresion</t>
        </is>
      </c>
      <c r="D4" s="14" t="n">
        <v>0.0003</v>
      </c>
      <c r="E4" s="14" t="n">
        <v>0.003</v>
      </c>
      <c r="F4" s="7" t="inlineStr">
        <is>
          <t>Valor economico atribuido por impresion legitima (ingreso publicitario proxy)</t>
        </is>
      </c>
    </row>
    <row r="5">
      <c r="A5" s="7" t="inlineStr">
        <is>
          <t>costo_moderador_por_hora</t>
        </is>
      </c>
      <c r="B5" s="14" t="n">
        <v>22</v>
      </c>
      <c r="C5" s="7" t="inlineStr">
        <is>
          <t>USD/hora</t>
        </is>
      </c>
      <c r="D5" s="14" t="n">
        <v>14</v>
      </c>
      <c r="E5" s="14" t="n">
        <v>45</v>
      </c>
      <c r="F5" s="7" t="inlineStr">
        <is>
          <t>Costo cargado de un moderador de contenido humano</t>
        </is>
      </c>
    </row>
    <row r="6">
      <c r="A6" s="7" t="inlineStr">
        <is>
          <t>moderadores_por_turno</t>
        </is>
      </c>
      <c r="B6" s="14" t="n">
        <v>1</v>
      </c>
      <c r="C6" s="7" t="inlineStr">
        <is>
          <t>count</t>
        </is>
      </c>
      <c r="D6" s="14" t="n">
        <v>1</v>
      </c>
      <c r="E6" s="14" t="n">
        <v>12</v>
      </c>
      <c r="F6" s="7" t="inlineStr">
        <is>
          <t>Cantidad de moderadores simultaneos por turno evaluados</t>
        </is>
      </c>
    </row>
    <row r="7">
      <c r="A7" s="7" t="inlineStr">
        <is>
          <t>horas_operativas_mes</t>
        </is>
      </c>
      <c r="B7" s="14" t="n">
        <v>720</v>
      </c>
      <c r="C7" s="7" t="inlineStr">
        <is>
          <t>horas/mes</t>
        </is>
      </c>
      <c r="D7" s="14" t="n">
        <v>672</v>
      </c>
      <c r="E7" s="14" t="n">
        <v>744</v>
      </c>
      <c r="F7" s="7" t="inlineStr">
        <is>
          <t>Horas operativas por mes (aprox 24/7)</t>
        </is>
      </c>
    </row>
    <row r="8">
      <c r="A8" s="7" t="inlineStr">
        <is>
          <t>costo_revision_por_item_flag</t>
        </is>
      </c>
      <c r="B8" s="14" t="n">
        <v>0.12</v>
      </c>
      <c r="C8" s="7" t="inlineStr">
        <is>
          <t>USD/item</t>
        </is>
      </c>
      <c r="D8" s="14" t="n">
        <v>0.05</v>
      </c>
      <c r="E8" s="14" t="n">
        <v>0.6</v>
      </c>
      <c r="F8" s="7" t="inlineStr">
        <is>
          <t>Costo marginal de revisar un item marcado por el clasificador</t>
        </is>
      </c>
    </row>
    <row r="9">
      <c r="A9" s="7" t="inlineStr">
        <is>
          <t>capex_clasificador_ml</t>
        </is>
      </c>
      <c r="B9" s="14" t="n">
        <v>250000</v>
      </c>
      <c r="C9" s="7" t="inlineStr">
        <is>
          <t>USD</t>
        </is>
      </c>
      <c r="D9" s="14" t="n">
        <v>80000</v>
      </c>
      <c r="E9" s="14" t="n">
        <v>900000</v>
      </c>
      <c r="F9" s="7" t="inlineStr">
        <is>
          <t>Costo de desarrollar/adquirir el clasificador automatico de contenido</t>
        </is>
      </c>
    </row>
    <row r="10">
      <c r="A10" s="7" t="inlineStr">
        <is>
          <t>opex_anual_clasificador</t>
        </is>
      </c>
      <c r="B10" s="14" t="n">
        <v>60000</v>
      </c>
      <c r="C10" s="7" t="inlineStr">
        <is>
          <t>USD/year</t>
        </is>
      </c>
      <c r="D10" s="14" t="n">
        <v>20000</v>
      </c>
      <c r="E10" s="14" t="n">
        <v>180000</v>
      </c>
      <c r="F10" s="7" t="inlineStr">
        <is>
          <t>Costo anual de operacion/reentrenamiento del clasificador</t>
        </is>
      </c>
    </row>
    <row r="11">
      <c r="A11" s="7" t="inlineStr">
        <is>
          <t>vida_util_clasificador_years</t>
        </is>
      </c>
      <c r="B11" s="14" t="n">
        <v>4</v>
      </c>
      <c r="C11" s="7" t="inlineStr">
        <is>
          <t>years</t>
        </is>
      </c>
      <c r="D11" s="14" t="n">
        <v>2</v>
      </c>
      <c r="E11" s="14" t="n">
        <v>8</v>
      </c>
      <c r="F11" s="7" t="inlineStr">
        <is>
          <t>Vida util para amortizar el clasificador</t>
        </is>
      </c>
    </row>
    <row r="12">
      <c r="A12" s="7" t="inlineStr">
        <is>
          <t>discount_rate</t>
        </is>
      </c>
      <c r="B12" s="14" t="n">
        <v>0.1</v>
      </c>
      <c r="C12" s="7" t="inlineStr">
        <is>
          <t>decimal</t>
        </is>
      </c>
      <c r="D12" s="14" t="n">
        <v>0.06</v>
      </c>
      <c r="E12" s="14" t="n">
        <v>0.18</v>
      </c>
      <c r="F12" s="7" t="inlineStr">
        <is>
          <t>Tasa de descuento para NPV</t>
        </is>
      </c>
    </row>
    <row r="13">
      <c r="A13" s="7" t="inlineStr">
        <is>
          <t>precision_clasificador</t>
        </is>
      </c>
      <c r="B13" s="14" t="n">
        <v>0.72</v>
      </c>
      <c r="C13" s="7" t="inlineStr">
        <is>
          <t>fraction</t>
        </is>
      </c>
      <c r="D13" s="14" t="n">
        <v>0.5</v>
      </c>
      <c r="E13" s="14" t="n">
        <v>0.95</v>
      </c>
      <c r="F13" s="7" t="inlineStr">
        <is>
          <t>Precision del clasificador (fraccion de flags correctos)</t>
        </is>
      </c>
    </row>
    <row r="14">
      <c r="A14" s="7" t="inlineStr">
        <is>
          <t>recall_clasificador</t>
        </is>
      </c>
      <c r="B14" s="14" t="n">
        <v>0.63</v>
      </c>
      <c r="C14" s="7" t="inlineStr">
        <is>
          <t>fraction</t>
        </is>
      </c>
      <c r="D14" s="14" t="n">
        <v>0.3</v>
      </c>
      <c r="E14" s="14" t="n">
        <v>0.9</v>
      </c>
      <c r="F14" s="7" t="inlineStr">
        <is>
          <t>Recall del clasificador (fraccion de nocivos detectados)</t>
        </is>
      </c>
    </row>
    <row r="15">
      <c r="A15" s="7" t="inlineStr">
        <is>
          <t>costo_reputacional_por_falso_positivo</t>
        </is>
      </c>
      <c r="B15" s="14" t="n">
        <v>1.5</v>
      </c>
      <c r="C15" s="7" t="inlineStr">
        <is>
          <t>USD/item</t>
        </is>
      </c>
      <c r="D15" s="14" t="n">
        <v>0.2</v>
      </c>
      <c r="E15" s="14" t="n">
        <v>10</v>
      </c>
      <c r="F15" s="7" t="inlineStr">
        <is>
          <t>Costo de moderar de mas contenido legitimo (usuarios molestos, apelaciones)</t>
        </is>
      </c>
    </row>
    <row r="16">
      <c r="A16" s="7" t="inlineStr">
        <is>
          <t>costo_social_por_impresion_nociva</t>
        </is>
      </c>
      <c r="B16" s="14" t="n">
        <v>0.004</v>
      </c>
      <c r="C16" s="7" t="inlineStr">
        <is>
          <t>USD/impresion</t>
        </is>
      </c>
      <c r="D16" s="14" t="n">
        <v>0.001</v>
      </c>
      <c r="E16" s="14" t="n">
        <v>0.05</v>
      </c>
      <c r="F16" s="7" t="inlineStr">
        <is>
          <t>Externalidad estimada por impresion de contenido nocivo no contenido</t>
        </is>
      </c>
    </row>
    <row r="17">
      <c r="A17" s="7" t="inlineStr">
        <is>
          <t>reduccion_alcance_rate_limit</t>
        </is>
      </c>
      <c r="B17" s="14" t="n">
        <v>0</v>
      </c>
      <c r="C17" s="7" t="inlineStr">
        <is>
          <t>fraction</t>
        </is>
      </c>
      <c r="D17" s="14" t="n">
        <v>0</v>
      </c>
      <c r="E17" s="14" t="n">
        <v>0.9</v>
      </c>
      <c r="F17" s="7" t="inlineStr">
        <is>
          <t>Fraccion de reduccion de alcance por reenvio limitado (a definir por escenario)</t>
        </is>
      </c>
    </row>
    <row r="18">
      <c r="A18" s="7" t="inlineStr">
        <is>
          <t>umbral_reenvios_rate_limit</t>
        </is>
      </c>
      <c r="B18" s="14" t="n">
        <v>5</v>
      </c>
      <c r="C18" s="7" t="inlineStr">
        <is>
          <t>count</t>
        </is>
      </c>
      <c r="D18" s="14" t="n">
        <v>1</v>
      </c>
      <c r="E18" s="14" t="n">
        <v>20</v>
      </c>
      <c r="F18" s="7" t="inlineStr">
        <is>
          <t>N de reenvios tras el cual se aplica friccion (estilo limite de reenvios)</t>
        </is>
      </c>
    </row>
    <row r="19">
      <c r="A19" s="7" t="inlineStr">
        <is>
          <t>perdida_engagement_por_rate_limit</t>
        </is>
      </c>
      <c r="B19" s="14" t="n">
        <v>0.15</v>
      </c>
      <c r="C19" s="7" t="inlineStr">
        <is>
          <t>fraction</t>
        </is>
      </c>
      <c r="D19" s="14" t="n">
        <v>0.02</v>
      </c>
      <c r="E19" s="14" t="n">
        <v>0.5</v>
      </c>
      <c r="F19" s="7" t="inlineStr">
        <is>
          <t>Fraccion de engagement legitimo perdido al aplicar rate-limiting</t>
        </is>
      </c>
    </row>
    <row r="20">
      <c r="A20" s="7" t="inlineStr">
        <is>
          <t>costo_degradar_influencer_por_dia</t>
        </is>
      </c>
      <c r="B20" s="14" t="n">
        <v>120</v>
      </c>
      <c r="C20" s="7" t="inlineStr">
        <is>
          <t>USD/day</t>
        </is>
      </c>
      <c r="D20" s="14" t="n">
        <v>20</v>
      </c>
      <c r="E20" s="14" t="n">
        <v>600</v>
      </c>
      <c r="F20" s="7" t="inlineStr">
        <is>
          <t>Costo reputacional/contractual diario de degradar alcance de una cuenta grande</t>
        </is>
      </c>
    </row>
    <row r="21">
      <c r="A21" s="7" t="inlineStr">
        <is>
          <t>latencia_objetivo_moderacion_min</t>
        </is>
      </c>
      <c r="B21" s="14" t="n">
        <v>120</v>
      </c>
      <c r="C21" s="7" t="inlineStr">
        <is>
          <t>min</t>
        </is>
      </c>
      <c r="D21" s="14" t="n">
        <v>30</v>
      </c>
      <c r="E21" s="14" t="n">
        <v>720</v>
      </c>
      <c r="F21" s="7" t="inlineStr">
        <is>
          <t>Latencia objetivo (SLA) para actuar sobre un item nocivo</t>
        </is>
      </c>
    </row>
    <row r="22">
      <c r="A22" s="7" t="inlineStr">
        <is>
          <t>valor_marca_por_usuario_activo</t>
        </is>
      </c>
      <c r="B22" s="14" t="n">
        <v>3.2</v>
      </c>
      <c r="C22" s="7" t="inlineStr">
        <is>
          <t>USD/user·month</t>
        </is>
      </c>
      <c r="D22" s="14" t="n">
        <v>1</v>
      </c>
      <c r="E22" s="14" t="n">
        <v>12</v>
      </c>
      <c r="F22" s="7" t="inlineStr">
        <is>
          <t>Valor de marca por usuario activo mensual (para costo de churn)</t>
        </is>
      </c>
    </row>
    <row r="23">
      <c r="A23" s="7" t="inlineStr">
        <is>
          <t>tasa_churn_por_exposicion_nociva</t>
        </is>
      </c>
      <c r="B23" s="14" t="n">
        <v>0.0005999999999999999</v>
      </c>
      <c r="C23" s="7" t="inlineStr">
        <is>
          <t>fraction</t>
        </is>
      </c>
      <c r="D23" s="14" t="n">
        <v>0.0001</v>
      </c>
      <c r="E23" s="14" t="n">
        <v>0.004</v>
      </c>
      <c r="F23" s="7" t="inlineStr">
        <is>
          <t>Incremento de churn por exposicion a contenido nocivo no moderado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pane ySplit="5" topLeftCell="A6" activePane="bottomLeft" state="frozen"/>
      <selection pane="bottomLeft" activeCell="A1" sqref="A1"/>
    </sheetView>
  </sheetViews>
  <sheetFormatPr baseColWidth="8" defaultRowHeight="15"/>
  <cols>
    <col width="16" customWidth="1" min="1" max="1"/>
    <col width="22" customWidth="1" min="2" max="2"/>
    <col width="24" customWidth="1" min="3" max="3"/>
  </cols>
  <sheetData>
    <row r="1">
      <c r="A1" s="1" t="inlineStr">
        <is>
          <t>Publicar: llegadas de rumores (semillas)</t>
        </is>
      </c>
    </row>
    <row r="2">
      <c r="A2" s="4" t="inlineStr">
        <is>
          <t>Días que cubre la muestra en C3. La tasa es una fórmula: semillas en esa hora ÷ días.</t>
        </is>
      </c>
    </row>
    <row r="3">
      <c r="A3" s="2" t="inlineStr">
        <is>
          <t>Días de la muestra</t>
        </is>
      </c>
      <c r="C3" s="15" t="n">
        <v>180</v>
      </c>
    </row>
    <row r="5">
      <c r="A5" s="5" t="inlineStr">
        <is>
          <t>Hora del día</t>
        </is>
      </c>
      <c r="B5" s="5" t="inlineStr">
        <is>
          <t>Semillas en la muestra</t>
        </is>
      </c>
      <c r="C5" s="5" t="inlineStr">
        <is>
          <t>Tasa (semillas por hora)</t>
        </is>
      </c>
    </row>
    <row r="6">
      <c r="A6" s="7" t="inlineStr">
        <is>
          <t>00:00</t>
        </is>
      </c>
      <c r="B6" s="16" t="n">
        <v>118</v>
      </c>
      <c r="C6" s="9">
        <f>B6/$C$3</f>
        <v/>
      </c>
    </row>
    <row r="7">
      <c r="A7" s="7" t="inlineStr">
        <is>
          <t>01:00</t>
        </is>
      </c>
      <c r="B7" s="16" t="n">
        <v>110</v>
      </c>
      <c r="C7" s="9">
        <f>B7/$C$3</f>
        <v/>
      </c>
    </row>
    <row r="8">
      <c r="A8" s="7" t="inlineStr">
        <is>
          <t>02:00</t>
        </is>
      </c>
      <c r="B8" s="16" t="n">
        <v>98</v>
      </c>
      <c r="C8" s="9">
        <f>B8/$C$3</f>
        <v/>
      </c>
    </row>
    <row r="9">
      <c r="A9" s="7" t="inlineStr">
        <is>
          <t>03:00</t>
        </is>
      </c>
      <c r="B9" s="16" t="n">
        <v>91</v>
      </c>
      <c r="C9" s="9">
        <f>B9/$C$3</f>
        <v/>
      </c>
    </row>
    <row r="10">
      <c r="A10" s="7" t="inlineStr">
        <is>
          <t>04:00</t>
        </is>
      </c>
      <c r="B10" s="16" t="n">
        <v>116</v>
      </c>
      <c r="C10" s="9">
        <f>B10/$C$3</f>
        <v/>
      </c>
    </row>
    <row r="11">
      <c r="A11" s="7" t="inlineStr">
        <is>
          <t>05:00</t>
        </is>
      </c>
      <c r="B11" s="16" t="n">
        <v>122</v>
      </c>
      <c r="C11" s="9">
        <f>B11/$C$3</f>
        <v/>
      </c>
    </row>
    <row r="12">
      <c r="A12" s="7" t="inlineStr">
        <is>
          <t>06:00</t>
        </is>
      </c>
      <c r="B12" s="16" t="n">
        <v>167</v>
      </c>
      <c r="C12" s="9">
        <f>B12/$C$3</f>
        <v/>
      </c>
    </row>
    <row r="13">
      <c r="A13" s="7" t="inlineStr">
        <is>
          <t>07:00</t>
        </is>
      </c>
      <c r="B13" s="16" t="n">
        <v>209</v>
      </c>
      <c r="C13" s="9">
        <f>B13/$C$3</f>
        <v/>
      </c>
    </row>
    <row r="14">
      <c r="A14" s="7" t="inlineStr">
        <is>
          <t>08:00</t>
        </is>
      </c>
      <c r="B14" s="16" t="n">
        <v>221</v>
      </c>
      <c r="C14" s="9">
        <f>B14/$C$3</f>
        <v/>
      </c>
    </row>
    <row r="15">
      <c r="A15" s="7" t="inlineStr">
        <is>
          <t>09:00</t>
        </is>
      </c>
      <c r="B15" s="16" t="n">
        <v>214</v>
      </c>
      <c r="C15" s="9">
        <f>B15/$C$3</f>
        <v/>
      </c>
    </row>
    <row r="16">
      <c r="A16" s="7" t="inlineStr">
        <is>
          <t>10:00</t>
        </is>
      </c>
      <c r="B16" s="16" t="n">
        <v>290</v>
      </c>
      <c r="C16" s="9">
        <f>B16/$C$3</f>
        <v/>
      </c>
    </row>
    <row r="17">
      <c r="A17" s="7" t="inlineStr">
        <is>
          <t>11:00</t>
        </is>
      </c>
      <c r="B17" s="16" t="n">
        <v>279</v>
      </c>
      <c r="C17" s="9">
        <f>B17/$C$3</f>
        <v/>
      </c>
    </row>
    <row r="18">
      <c r="A18" s="7" t="inlineStr">
        <is>
          <t>12:00</t>
        </is>
      </c>
      <c r="B18" s="16" t="n">
        <v>244</v>
      </c>
      <c r="C18" s="9">
        <f>B18/$C$3</f>
        <v/>
      </c>
    </row>
    <row r="19">
      <c r="A19" s="7" t="inlineStr">
        <is>
          <t>13:00</t>
        </is>
      </c>
      <c r="B19" s="16" t="n">
        <v>271</v>
      </c>
      <c r="C19" s="9">
        <f>B19/$C$3</f>
        <v/>
      </c>
    </row>
    <row r="20">
      <c r="A20" s="7" t="inlineStr">
        <is>
          <t>14:00</t>
        </is>
      </c>
      <c r="B20" s="16" t="n">
        <v>277</v>
      </c>
      <c r="C20" s="9">
        <f>B20/$C$3</f>
        <v/>
      </c>
    </row>
    <row r="21">
      <c r="A21" s="7" t="inlineStr">
        <is>
          <t>15:00</t>
        </is>
      </c>
      <c r="B21" s="16" t="n">
        <v>245</v>
      </c>
      <c r="C21" s="9">
        <f>B21/$C$3</f>
        <v/>
      </c>
    </row>
    <row r="22">
      <c r="A22" s="7" t="inlineStr">
        <is>
          <t>16:00</t>
        </is>
      </c>
      <c r="B22" s="16" t="n">
        <v>226</v>
      </c>
      <c r="C22" s="9">
        <f>B22/$C$3</f>
        <v/>
      </c>
    </row>
    <row r="23">
      <c r="A23" s="7" t="inlineStr">
        <is>
          <t>17:00</t>
        </is>
      </c>
      <c r="B23" s="16" t="n">
        <v>292</v>
      </c>
      <c r="C23" s="9">
        <f>B23/$C$3</f>
        <v/>
      </c>
    </row>
    <row r="24">
      <c r="A24" s="7" t="inlineStr">
        <is>
          <t>18:00</t>
        </is>
      </c>
      <c r="B24" s="16" t="n">
        <v>276</v>
      </c>
      <c r="C24" s="9">
        <f>B24/$C$3</f>
        <v/>
      </c>
    </row>
    <row r="25">
      <c r="A25" s="7" t="inlineStr">
        <is>
          <t>19:00</t>
        </is>
      </c>
      <c r="B25" s="16" t="n">
        <v>284</v>
      </c>
      <c r="C25" s="9">
        <f>B25/$C$3</f>
        <v/>
      </c>
    </row>
    <row r="26">
      <c r="A26" s="7" t="inlineStr">
        <is>
          <t>20:00</t>
        </is>
      </c>
      <c r="B26" s="16" t="n">
        <v>258</v>
      </c>
      <c r="C26" s="9">
        <f>B26/$C$3</f>
        <v/>
      </c>
    </row>
    <row r="27">
      <c r="A27" s="7" t="inlineStr">
        <is>
          <t>21:00</t>
        </is>
      </c>
      <c r="B27" s="16" t="n">
        <v>231</v>
      </c>
      <c r="C27" s="9">
        <f>B27/$C$3</f>
        <v/>
      </c>
    </row>
    <row r="28">
      <c r="A28" s="7" t="inlineStr">
        <is>
          <t>22:00</t>
        </is>
      </c>
      <c r="B28" s="16" t="n">
        <v>190</v>
      </c>
      <c r="C28" s="9">
        <f>B28/$C$3</f>
        <v/>
      </c>
    </row>
    <row r="29">
      <c r="A29" s="7" t="inlineStr">
        <is>
          <t>23:00</t>
        </is>
      </c>
      <c r="B29" s="16" t="n">
        <v>171</v>
      </c>
      <c r="C29" s="9">
        <f>B29/$C$3</f>
        <v/>
      </c>
    </row>
    <row r="30">
      <c r="A30" s="6" t="inlineStr">
        <is>
          <t>Total</t>
        </is>
      </c>
      <c r="B30" s="17">
        <f>SUM(B6:B29)</f>
        <v/>
      </c>
      <c r="C30" s="18">
        <f>B30/$C$3/24</f>
        <v/>
      </c>
    </row>
    <row r="31">
      <c r="A31" s="4" t="inlineStr">
        <is>
          <t>La tasa del total es el promedio por hora a lo largo del día.</t>
        </is>
      </c>
    </row>
    <row r="32">
      <c r="A32" s="2" t="inlineStr">
        <is>
          <t>Por día de la semana</t>
        </is>
      </c>
    </row>
    <row r="33">
      <c r="A33" s="19" t="inlineStr">
        <is>
          <t>Día</t>
        </is>
      </c>
      <c r="B33" s="19" t="inlineStr">
        <is>
          <t>Semillas en la muestra</t>
        </is>
      </c>
      <c r="C33" s="19" t="inlineStr">
        <is>
          <t>Semillas por día</t>
        </is>
      </c>
    </row>
    <row r="34">
      <c r="A34" s="7" t="inlineStr">
        <is>
          <t>lunes</t>
        </is>
      </c>
      <c r="B34" s="16" t="n">
        <v>714</v>
      </c>
      <c r="C34" s="40">
        <f>B34/($C$3/7)</f>
        <v/>
      </c>
    </row>
    <row r="35">
      <c r="A35" s="7" t="inlineStr">
        <is>
          <t>martes</t>
        </is>
      </c>
      <c r="B35" s="16" t="n">
        <v>675</v>
      </c>
      <c r="C35" s="40">
        <f>B35/($C$3/7)</f>
        <v/>
      </c>
    </row>
    <row r="36">
      <c r="A36" s="7" t="inlineStr">
        <is>
          <t>miércoles</t>
        </is>
      </c>
      <c r="B36" s="16" t="n">
        <v>696</v>
      </c>
      <c r="C36" s="40">
        <f>B36/($C$3/7)</f>
        <v/>
      </c>
    </row>
    <row r="37">
      <c r="A37" s="7" t="inlineStr">
        <is>
          <t>jueves</t>
        </is>
      </c>
      <c r="B37" s="16" t="n">
        <v>626</v>
      </c>
      <c r="C37" s="40">
        <f>B37/($C$3/7)</f>
        <v/>
      </c>
    </row>
    <row r="38">
      <c r="A38" s="7" t="inlineStr">
        <is>
          <t>viernes</t>
        </is>
      </c>
      <c r="B38" s="16" t="n">
        <v>670</v>
      </c>
      <c r="C38" s="40">
        <f>B38/($C$3/7)</f>
        <v/>
      </c>
    </row>
    <row r="39">
      <c r="A39" s="7" t="inlineStr">
        <is>
          <t>sábado</t>
        </is>
      </c>
      <c r="B39" s="16" t="n">
        <v>813</v>
      </c>
      <c r="C39" s="40">
        <f>B39/($C$3/7)</f>
        <v/>
      </c>
    </row>
    <row r="40">
      <c r="A40" s="7" t="inlineStr">
        <is>
          <t>domingo</t>
        </is>
      </c>
      <c r="B40" s="16" t="n">
        <v>806</v>
      </c>
      <c r="C40" s="40">
        <f>B40/($C$3/7)</f>
        <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H10"/>
  <sheetViews>
    <sheetView showGridLines="0" workbookViewId="0">
      <pane ySplit="3" topLeftCell="A4"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8" customWidth="1" min="6" max="6"/>
    <col width="16" customWidth="1" min="7" max="7"/>
    <col width="22" customWidth="1" min="8" max="8"/>
  </cols>
  <sheetData>
    <row r="1">
      <c r="A1" s="1" t="inlineStr">
        <is>
          <t>Tipos de cuenta</t>
        </is>
      </c>
    </row>
    <row r="2">
      <c r="A2" s="4" t="inlineStr">
        <is>
          <t>R = hijos medios por evento (reshare_count_from_actor), sin las 14 cascadas truncadas.</t>
        </is>
      </c>
    </row>
    <row r="3">
      <c r="A3" s="5" t="inlineStr">
        <is>
          <t>Tipo</t>
        </is>
      </c>
      <c r="B3" s="5" t="inlineStr">
        <is>
          <t>% de las semillas</t>
        </is>
      </c>
      <c r="C3" s="5" t="inlineStr">
        <is>
          <t>% de los reenvíos</t>
        </is>
      </c>
      <c r="D3" s="5" t="inlineStr">
        <is>
          <t>Hijos medios (R)</t>
        </is>
      </c>
      <c r="E3" s="5" t="inlineStr">
        <is>
          <t>Seguidores: p10</t>
        </is>
      </c>
      <c r="F3" s="5" t="inlineStr">
        <is>
          <t>Seguidores: mediana</t>
        </is>
      </c>
      <c r="G3" s="5" t="inlineStr">
        <is>
          <t>Seguidores: p90</t>
        </is>
      </c>
      <c r="H3" s="5" t="inlineStr">
        <is>
          <t>Impresiones esperadas (mediana)</t>
        </is>
      </c>
    </row>
    <row r="4">
      <c r="A4" s="6" t="inlineStr">
        <is>
          <t>BROADCASTER</t>
        </is>
      </c>
      <c r="B4" s="21" t="n">
        <v>0.1198</v>
      </c>
      <c r="C4" s="21" t="n">
        <v>0.0368</v>
      </c>
      <c r="D4" s="22" t="n">
        <v>4.444</v>
      </c>
      <c r="E4" s="16" t="n">
        <v>233582</v>
      </c>
      <c r="F4" s="16" t="n">
        <v>422345</v>
      </c>
      <c r="G4" s="16" t="n">
        <v>1100000</v>
      </c>
      <c r="H4" s="23">
        <f>F4*'A priori'!$C$5</f>
        <v/>
      </c>
    </row>
    <row r="5">
      <c r="A5" s="6" t="inlineStr">
        <is>
          <t>CREATOR</t>
        </is>
      </c>
      <c r="B5" s="21" t="n">
        <v>0.1654</v>
      </c>
      <c r="C5" s="21" t="n">
        <v>0.06320000000000001</v>
      </c>
      <c r="D5" s="22" t="n">
        <v>3.525</v>
      </c>
      <c r="E5" s="16" t="n">
        <v>58122</v>
      </c>
      <c r="F5" s="16" t="n">
        <v>101192</v>
      </c>
      <c r="G5" s="16" t="n">
        <v>182000</v>
      </c>
      <c r="H5" s="23">
        <f>F5*'A priori'!$C$5</f>
        <v/>
      </c>
    </row>
    <row r="6">
      <c r="A6" s="6" t="inlineStr">
        <is>
          <t>AGGREGATOR</t>
        </is>
      </c>
      <c r="B6" s="21" t="n">
        <v>0.1774</v>
      </c>
      <c r="C6" s="21" t="n">
        <v>0.2198</v>
      </c>
      <c r="D6" s="22" t="n">
        <v>0.58</v>
      </c>
      <c r="E6" s="16" t="n">
        <v>315</v>
      </c>
      <c r="F6" s="16" t="n">
        <v>410</v>
      </c>
      <c r="G6" s="16" t="n">
        <v>1118</v>
      </c>
      <c r="H6" s="23">
        <f>F6*'A priori'!$C$5</f>
        <v/>
      </c>
    </row>
    <row r="7">
      <c r="A7" s="6" t="inlineStr">
        <is>
          <t>LURKER</t>
        </is>
      </c>
      <c r="B7" s="21" t="n">
        <v>0.1478</v>
      </c>
      <c r="C7" s="21" t="n">
        <v>0.1919</v>
      </c>
      <c r="D7" s="22" t="n">
        <v>0.587</v>
      </c>
      <c r="E7" s="16" t="n">
        <v>320</v>
      </c>
      <c r="F7" s="16" t="n">
        <v>410</v>
      </c>
      <c r="G7" s="16" t="n">
        <v>1131</v>
      </c>
      <c r="H7" s="23">
        <f>F7*'A priori'!$C$5</f>
        <v/>
      </c>
    </row>
    <row r="8">
      <c r="A8" s="6" t="inlineStr">
        <is>
          <t>STANDARD</t>
        </is>
      </c>
      <c r="B8" s="21" t="n">
        <v>0.3896</v>
      </c>
      <c r="C8" s="21" t="n">
        <v>0.4882</v>
      </c>
      <c r="D8" s="22" t="n">
        <v>0.591</v>
      </c>
      <c r="E8" s="16" t="n">
        <v>315</v>
      </c>
      <c r="F8" s="16" t="n">
        <v>416</v>
      </c>
      <c r="G8" s="16" t="n">
        <v>1100</v>
      </c>
      <c r="H8" s="23">
        <f>F8*'A priori'!$C$5</f>
        <v/>
      </c>
    </row>
    <row r="9">
      <c r="A9" s="6" t="inlineStr">
        <is>
          <t>Total</t>
        </is>
      </c>
      <c r="B9" s="24">
        <f>SUM(B4:B8)</f>
        <v/>
      </c>
      <c r="C9" s="24">
        <f>SUM(C4:C8)</f>
        <v/>
      </c>
      <c r="D9" s="41">
        <f>SUMPRODUCT(C4:C8,D4:D8)</f>
        <v/>
      </c>
      <c r="E9" s="7" t="n"/>
      <c r="F9" s="7" t="n"/>
      <c r="G9" s="7" t="n"/>
      <c r="H9" s="7" t="n"/>
    </row>
    <row r="10">
      <c r="A10" s="4" t="inlineStr">
        <is>
          <t>El R total (D9) es el promedio ponderado por la mezcla de reenvíos. Tiene que dar cerca de 0,916.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
  <sheetViews>
    <sheetView showGridLines="0" workbookViewId="0">
      <pane ySplit="3" topLeftCell="A4" activePane="bottomLeft" state="frozen"/>
      <selection pane="bottomLeft" activeCell="A1" sqref="A1"/>
    </sheetView>
  </sheetViews>
  <sheetFormatPr baseColWidth="8" defaultRowHeight="15"/>
  <cols>
    <col width="14" customWidth="1" min="1" max="1"/>
    <col width="12" customWidth="1" min="2" max="2"/>
    <col width="14" customWidth="1" min="3" max="3"/>
    <col width="18" customWidth="1" min="4" max="4"/>
  </cols>
  <sheetData>
    <row r="1">
      <c r="A1" s="1" t="inlineStr">
        <is>
          <t>Hijos medios por generación</t>
        </is>
      </c>
    </row>
    <row r="2">
      <c r="A2" s="4" t="inlineStr">
        <is>
          <t>El decaimiento δ(g) sale de acá. Cómo se normaliza queda para el grupo (D18). La generación 0 es la semilla y tiene más BROADCASTER.</t>
        </is>
      </c>
    </row>
    <row r="3">
      <c r="A3" s="5" t="inlineStr">
        <is>
          <t>Generación g</t>
        </is>
      </c>
      <c r="B3" s="5" t="inlineStr">
        <is>
          <t>Eventos</t>
        </is>
      </c>
      <c r="C3" s="5" t="inlineStr">
        <is>
          <t>Hijos medios</t>
        </is>
      </c>
      <c r="D3" s="5" t="inlineStr">
        <is>
          <t>Relativo a g = 1</t>
        </is>
      </c>
    </row>
    <row r="4">
      <c r="A4" s="26" t="n">
        <v>0</v>
      </c>
      <c r="B4" s="16" t="n">
        <v>4986</v>
      </c>
      <c r="C4" s="42" t="n">
        <v>2.346</v>
      </c>
      <c r="D4" s="9">
        <f>C4/$C$5</f>
        <v/>
      </c>
    </row>
    <row r="5">
      <c r="A5" s="26" t="n">
        <v>1</v>
      </c>
      <c r="B5" s="16" t="n">
        <v>11697</v>
      </c>
      <c r="C5" s="42" t="n">
        <v>1.005</v>
      </c>
      <c r="D5" s="9">
        <f>C5/$C$5</f>
        <v/>
      </c>
    </row>
    <row r="6">
      <c r="A6" s="26" t="n">
        <v>2</v>
      </c>
      <c r="B6" s="16" t="n">
        <v>11755</v>
      </c>
      <c r="C6" s="42" t="n">
        <v>0.848</v>
      </c>
      <c r="D6" s="9">
        <f>C6/$C$5</f>
        <v/>
      </c>
    </row>
    <row r="7">
      <c r="A7" s="26" t="n">
        <v>3</v>
      </c>
      <c r="B7" s="16" t="n">
        <v>9963</v>
      </c>
      <c r="C7" s="42" t="n">
        <v>0.777</v>
      </c>
      <c r="D7" s="9">
        <f>C7/$C$5</f>
        <v/>
      </c>
    </row>
    <row r="8">
      <c r="A8" s="26" t="n">
        <v>4</v>
      </c>
      <c r="B8" s="16" t="n">
        <v>7743</v>
      </c>
      <c r="C8" s="42" t="n">
        <v>0.676</v>
      </c>
      <c r="D8" s="9">
        <f>C8/$C$5</f>
        <v/>
      </c>
    </row>
    <row r="9">
      <c r="A9" s="26" t="n">
        <v>5</v>
      </c>
      <c r="B9" s="16" t="n">
        <v>5238</v>
      </c>
      <c r="C9" s="42" t="n">
        <v>0.643</v>
      </c>
      <c r="D9" s="9">
        <f>C9/$C$5</f>
        <v/>
      </c>
    </row>
    <row r="10">
      <c r="A10" s="26" t="n">
        <v>6</v>
      </c>
      <c r="B10" s="16" t="n">
        <v>3370</v>
      </c>
      <c r="C10" s="42" t="n">
        <v>0.628</v>
      </c>
      <c r="D10" s="9">
        <f>C10/$C$5</f>
        <v/>
      </c>
    </row>
    <row r="11">
      <c r="A11" s="26" t="n">
        <v>7</v>
      </c>
      <c r="B11" s="16" t="n">
        <v>2116</v>
      </c>
      <c r="C11" s="42" t="n">
        <v>0.554</v>
      </c>
      <c r="D11" s="9">
        <f>C11/$C$5</f>
        <v/>
      </c>
    </row>
    <row r="12">
      <c r="A12" s="26" t="n">
        <v>8</v>
      </c>
      <c r="B12" s="16" t="n">
        <v>1173</v>
      </c>
      <c r="C12" s="42" t="n">
        <v>0.491</v>
      </c>
      <c r="D12" s="9">
        <f>C12/$C$5</f>
        <v/>
      </c>
    </row>
    <row r="13">
      <c r="A13" s="26" t="n">
        <v>9</v>
      </c>
      <c r="B13" s="16" t="n">
        <v>576</v>
      </c>
      <c r="C13" s="42" t="n">
        <v>0.439</v>
      </c>
      <c r="D13" s="9">
        <f>C13/$C$5</f>
        <v/>
      </c>
    </row>
    <row r="14">
      <c r="A14" s="26" t="n">
        <v>10</v>
      </c>
      <c r="B14" s="16" t="n">
        <v>253</v>
      </c>
      <c r="C14" s="42" t="n">
        <v>0.387</v>
      </c>
      <c r="D14" s="9">
        <f>C14/$C$5</f>
        <v/>
      </c>
    </row>
    <row r="15">
      <c r="A15" s="26" t="n">
        <v>11</v>
      </c>
      <c r="B15" s="16" t="n">
        <v>98</v>
      </c>
      <c r="C15" s="42" t="n">
        <v>0.367</v>
      </c>
      <c r="D15" s="9">
        <f>C15/$C$5</f>
        <v/>
      </c>
    </row>
    <row r="16">
      <c r="A16" s="26" t="n">
        <v>12</v>
      </c>
      <c r="B16" s="16" t="n">
        <v>36</v>
      </c>
      <c r="C16" s="42" t="n">
        <v>0.306</v>
      </c>
      <c r="D16" s="9">
        <f>C16/$C$5</f>
        <v/>
      </c>
    </row>
    <row r="17">
      <c r="A17" s="26" t="n">
        <v>13</v>
      </c>
      <c r="B17" s="16" t="n">
        <v>11</v>
      </c>
      <c r="C17" s="42" t="n">
        <v>0.273</v>
      </c>
      <c r="D17" s="9">
        <f>C17/$C$5</f>
        <v/>
      </c>
    </row>
    <row r="18">
      <c r="A18" s="26" t="n">
        <v>14</v>
      </c>
      <c r="B18" s="16" t="n">
        <v>3</v>
      </c>
      <c r="C18" s="42" t="n">
        <v>1</v>
      </c>
      <c r="D18" s="9">
        <f>C18/$C$5</f>
        <v/>
      </c>
    </row>
    <row r="19">
      <c r="A19" s="26" t="n">
        <v>15</v>
      </c>
      <c r="B19" s="16" t="n">
        <v>3</v>
      </c>
      <c r="C19" s="42" t="n">
        <v>0</v>
      </c>
      <c r="D19" s="9">
        <f>C19/$C$5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
  <sheetViews>
    <sheetView showGridLines="0" workbookViewId="0">
      <pane ySplit="3" topLeftCell="A4"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6" customWidth="1" min="7" max="7"/>
  </cols>
  <sheetData>
    <row r="1">
      <c r="A1" s="1" t="inlineStr">
        <is>
          <t>Probabilidad de marca de Centinela</t>
        </is>
      </c>
    </row>
    <row r="2">
      <c r="A2" s="4" t="inlineStr">
        <is>
          <t>Fracción de eventos con moderation_flag = 1, por grupo de tema y quintil de toxicity_index. Nocivo = DISARM es la hipótesis de D8.</t>
        </is>
      </c>
    </row>
    <row r="3">
      <c r="A3" s="5" t="inlineStr">
        <is>
          <t>Grupo de tema</t>
        </is>
      </c>
      <c r="B3" s="5" t="inlineStr">
        <is>
          <t>Q1</t>
        </is>
      </c>
      <c r="C3" s="5" t="inlineStr">
        <is>
          <t>Q2</t>
        </is>
      </c>
      <c r="D3" s="5" t="inlineStr">
        <is>
          <t>Q3</t>
        </is>
      </c>
      <c r="E3" s="5" t="inlineStr">
        <is>
          <t>Q4</t>
        </is>
      </c>
      <c r="F3" s="5" t="inlineStr">
        <is>
          <t>Q5</t>
        </is>
      </c>
      <c r="G3" s="5" t="inlineStr">
        <is>
          <t>Total del grupo</t>
        </is>
      </c>
    </row>
    <row r="4">
      <c r="A4" s="6" t="inlineStr">
        <is>
          <t>DISARM</t>
        </is>
      </c>
      <c r="B4" s="21" t="n">
        <v>0.204</v>
      </c>
      <c r="C4" s="21" t="n">
        <v>0.249</v>
      </c>
      <c r="D4" s="21" t="n">
        <v>0.302</v>
      </c>
      <c r="E4" s="21" t="n">
        <v>0.343</v>
      </c>
      <c r="F4" s="21" t="n">
        <v>0.4</v>
      </c>
      <c r="G4" s="21" t="n">
        <v>0.328</v>
      </c>
    </row>
    <row r="5">
      <c r="A5" s="6" t="inlineStr">
        <is>
          <t>ORG</t>
        </is>
      </c>
      <c r="B5" s="21" t="n">
        <v>0.091</v>
      </c>
      <c r="C5" s="21" t="n">
        <v>0.128</v>
      </c>
      <c r="D5" s="21" t="n">
        <v>0.173</v>
      </c>
      <c r="E5" s="21" t="n">
        <v>0.211</v>
      </c>
      <c r="F5" s="21" t="n">
        <v>0.26</v>
      </c>
      <c r="G5" s="21" t="n">
        <v>0.156</v>
      </c>
    </row>
    <row r="6">
      <c r="A6" s="28" t="inlineStr">
        <is>
          <t>Toxicidad del quintil</t>
        </is>
      </c>
      <c r="B6" s="28" t="inlineStr">
        <is>
          <t>0.000 – 0.170</t>
        </is>
      </c>
      <c r="C6" s="28" t="inlineStr">
        <is>
          <t>0.170 – 0.284</t>
        </is>
      </c>
      <c r="D6" s="28" t="inlineStr">
        <is>
          <t>0.284 – 0.393</t>
        </is>
      </c>
      <c r="E6" s="28" t="inlineStr">
        <is>
          <t>0.393 – 0.523</t>
        </is>
      </c>
      <c r="F6" s="28" t="inlineStr">
        <is>
          <t>0.523 – 1.000</t>
        </is>
      </c>
      <c r="G6" s="28" t="n"/>
    </row>
    <row r="8">
      <c r="A8" s="6" t="inlineStr">
        <is>
          <t>Marcados en la muestra</t>
        </is>
      </c>
      <c r="B8" s="16" t="n">
        <v>15445</v>
      </c>
      <c r="C8" s="7" t="n"/>
      <c r="D8" s="7" t="n"/>
      <c r="E8" s="7" t="n"/>
      <c r="F8" s="7" t="n"/>
      <c r="G8" s="7" t="n"/>
    </row>
    <row r="9">
      <c r="A9" s="6" t="inlineStr">
        <is>
          <t>Fracción marcada</t>
        </is>
      </c>
      <c r="B9" s="21" t="n">
        <v>0.225</v>
      </c>
      <c r="C9" s="7" t="n"/>
      <c r="D9" s="7" t="n"/>
      <c r="E9" s="7" t="n"/>
      <c r="F9" s="7" t="n"/>
      <c r="G9" s="7"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
  <sheetViews>
    <sheetView showGridLines="0" workbookViewId="0">
      <pane ySplit="3" topLeftCell="A4" activePane="bottomLeft" state="frozen"/>
      <selection pane="bottomLeft" activeCell="A1" sqref="A1"/>
    </sheetView>
  </sheetViews>
  <sheetFormatPr baseColWidth="8" defaultRowHeight="15"/>
  <cols>
    <col width="26" customWidth="1" min="1" max="1"/>
    <col width="18" customWidth="1" min="2" max="2"/>
    <col width="20" customWidth="1" min="3" max="3"/>
    <col width="10" customWidth="1" min="4" max="4"/>
    <col width="60" customWidth="1" min="5" max="5"/>
  </cols>
  <sheetData>
    <row r="1">
      <c r="A1" s="1" t="inlineStr">
        <is>
          <t>Tiempo entre generaciones (inter_event_time_min &gt; 0)</t>
        </is>
      </c>
    </row>
    <row r="2">
      <c r="A2" s="4" t="inlineStr">
        <is>
          <t>60.754 tiempos. Con tantos datos ninguna pasa el test de KS: importa cuál se acerca más. Falta repetirlo con el Input Analyzer.</t>
        </is>
      </c>
    </row>
    <row r="3">
      <c r="A3" s="5" t="inlineStr">
        <is>
          <t>Distribución</t>
        </is>
      </c>
      <c r="B3" s="5" t="inlineStr">
        <is>
          <t>Parámetro 1</t>
        </is>
      </c>
      <c r="C3" s="5" t="inlineStr">
        <is>
          <t>Parámetro 2</t>
        </is>
      </c>
      <c r="D3" s="5" t="inlineStr">
        <is>
          <t>KS (D)</t>
        </is>
      </c>
      <c r="E3" s="5" t="inlineStr">
        <is>
          <t>Nota</t>
        </is>
      </c>
    </row>
    <row r="4">
      <c r="A4" s="6" t="inlineStr">
        <is>
          <t>Gamma</t>
        </is>
      </c>
      <c r="B4" s="7" t="inlineStr">
        <is>
          <t>forma 0,55</t>
        </is>
      </c>
      <c r="C4" s="7" t="inlineStr">
        <is>
          <t>escala 128 min</t>
        </is>
      </c>
      <c r="D4" s="42" t="n">
        <v>0.08</v>
      </c>
      <c r="E4" s="7" t="inlineStr">
        <is>
          <t>la que mejor ajusta</t>
        </is>
      </c>
    </row>
    <row r="5">
      <c r="A5" s="6" t="inlineStr">
        <is>
          <t>Weibull</t>
        </is>
      </c>
      <c r="B5" s="7" t="inlineStr">
        <is>
          <t>forma 0,67</t>
        </is>
      </c>
      <c r="C5" s="7" t="inlineStr">
        <is>
          <t>escala 53 min</t>
        </is>
      </c>
      <c r="D5" s="42" t="n">
        <v>0.106</v>
      </c>
      <c r="E5" s="7" t="inlineStr"/>
    </row>
    <row r="6">
      <c r="A6" s="6" t="inlineStr">
        <is>
          <t>Lognormal</t>
        </is>
      </c>
      <c r="B6" s="7" t="inlineStr">
        <is>
          <t>σ 1,98</t>
        </is>
      </c>
      <c r="C6" s="7" t="inlineStr">
        <is>
          <t>mediana 22 min</t>
        </is>
      </c>
      <c r="D6" s="42" t="n">
        <v>0.142</v>
      </c>
      <c r="E6" s="7" t="inlineStr"/>
    </row>
    <row r="7">
      <c r="A7" s="6" t="inlineStr">
        <is>
          <t>Exponencial = Erlang k=1</t>
        </is>
      </c>
      <c r="B7" s="7" t="inlineStr">
        <is>
          <t>media 70 min</t>
        </is>
      </c>
      <c r="C7" s="7" t="inlineStr"/>
      <c r="D7" s="42" t="n">
        <v>0.151</v>
      </c>
      <c r="E7" s="7" t="inlineStr">
        <is>
          <t>la que peor ajusta de las cuatro</t>
        </is>
      </c>
    </row>
    <row r="8">
      <c r="A8" s="6" t="inlineStr">
        <is>
          <t>Erlang k=2</t>
        </is>
      </c>
      <c r="B8" s="7" t="inlineStr">
        <is>
          <t>media 70 min</t>
        </is>
      </c>
      <c r="C8" s="7" t="inlineStr"/>
      <c r="D8" s="42" t="n">
        <v>0.274</v>
      </c>
      <c r="E8" s="7" t="inlineStr">
        <is>
          <t>una Erlang tiene CV ≤ 1 y estos datos tienen 3,9</t>
        </is>
      </c>
    </row>
    <row r="10">
      <c r="A10" s="6" t="inlineStr">
        <is>
          <t>Mediana · p90</t>
        </is>
      </c>
      <c r="B10" s="14" t="inlineStr">
        <is>
          <t>43 min</t>
        </is>
      </c>
      <c r="C10" s="14" t="inlineStr">
        <is>
          <t>151 min</t>
        </is>
      </c>
      <c r="D10" s="7" t="n"/>
      <c r="E10" s="7" t="n"/>
    </row>
    <row r="11">
      <c r="A11" s="6" t="inlineStr">
        <is>
          <t>Media · desvío</t>
        </is>
      </c>
      <c r="B11" s="14" t="inlineStr">
        <is>
          <t>70 min</t>
        </is>
      </c>
      <c r="C11" s="14" t="inlineStr">
        <is>
          <t>271 min</t>
        </is>
      </c>
      <c r="D11" s="7" t="n"/>
      <c r="E11" s="7" t="n"/>
    </row>
    <row r="12">
      <c r="A12" s="6" t="inlineStr">
        <is>
          <t>Coef. de variación</t>
        </is>
      </c>
      <c r="B12" s="14" t="inlineStr">
        <is>
          <t>3,9</t>
        </is>
      </c>
      <c r="C12" s="14" t="inlineStr">
        <is>
          <t>1,18 sin el 1 % más extremo</t>
        </is>
      </c>
      <c r="D12" s="7" t="n"/>
      <c r="E12" s="7"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8"/>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2" customWidth="1" min="3" max="3"/>
    <col width="60" customWidth="1" min="4" max="4"/>
  </cols>
  <sheetData>
    <row r="1">
      <c r="A1" s="1" t="inlineStr">
        <is>
          <t>Lo que el simulador tiene que reproducir</t>
        </is>
      </c>
    </row>
    <row r="2">
      <c r="A2" s="4" t="inlineStr">
        <is>
          <t>Con la dotación de hoy, y cortando las cascadas simuladas en 500 como el export.</t>
        </is>
      </c>
    </row>
    <row r="3">
      <c r="A3" s="5" t="inlineStr">
        <is>
          <t>Métrica</t>
        </is>
      </c>
      <c r="B3" s="5" t="inlineStr">
        <is>
          <t>Observado</t>
        </is>
      </c>
      <c r="C3" s="5" t="inlineStr">
        <is>
          <t>Unidad</t>
        </is>
      </c>
      <c r="D3" s="5" t="inlineStr">
        <is>
          <t>Nota</t>
        </is>
      </c>
    </row>
    <row r="4">
      <c r="A4" s="7" t="inlineStr">
        <is>
          <t>Cascadas</t>
        </is>
      </c>
      <c r="B4" s="43" t="n">
        <v>5000</v>
      </c>
      <c r="C4" s="7" t="inlineStr">
        <is>
          <t>cascadas</t>
        </is>
      </c>
      <c r="D4" s="7" t="inlineStr"/>
    </row>
    <row r="5">
      <c r="A5" s="7" t="inlineStr">
        <is>
          <t>Cascadas de un solo evento</t>
        </is>
      </c>
      <c r="B5" s="21" t="n">
        <v>0.4038</v>
      </c>
      <c r="C5" s="7" t="inlineStr">
        <is>
          <t>%</t>
        </is>
      </c>
      <c r="D5" s="7" t="inlineStr">
        <is>
          <t>2.019 de 5.000</t>
        </is>
      </c>
    </row>
    <row r="6">
      <c r="A6" s="7" t="inlineStr">
        <is>
          <t>Tamaño medio</t>
        </is>
      </c>
      <c r="B6" s="43" t="n">
        <v>13.2</v>
      </c>
      <c r="C6" s="7" t="inlineStr">
        <is>
          <t>eventos</t>
        </is>
      </c>
      <c r="D6" s="7" t="inlineStr">
        <is>
          <t>con las truncadas</t>
        </is>
      </c>
    </row>
    <row r="7">
      <c r="A7" s="7" t="inlineStr">
        <is>
          <t>Tamaño mediano</t>
        </is>
      </c>
      <c r="B7" s="43" t="n">
        <v>2</v>
      </c>
      <c r="C7" s="7" t="inlineStr">
        <is>
          <t>eventos</t>
        </is>
      </c>
      <c r="D7" s="7" t="inlineStr"/>
    </row>
    <row r="8">
      <c r="A8" s="7" t="inlineStr">
        <is>
          <t>Tamaño p90</t>
        </is>
      </c>
      <c r="B8" s="43" t="n">
        <v>29</v>
      </c>
      <c r="C8" s="7" t="inlineStr">
        <is>
          <t>eventos</t>
        </is>
      </c>
      <c r="D8" s="7" t="inlineStr"/>
    </row>
    <row r="9">
      <c r="A9" s="7" t="inlineStr">
        <is>
          <t>Tamaño p99</t>
        </is>
      </c>
      <c r="B9" s="43" t="n">
        <v>188</v>
      </c>
      <c r="C9" s="7" t="inlineStr">
        <is>
          <t>eventos</t>
        </is>
      </c>
      <c r="D9" s="7" t="inlineStr">
        <is>
          <t>el test que manda para D16 y D17</t>
        </is>
      </c>
    </row>
    <row r="10">
      <c r="A10" s="7" t="inlineStr">
        <is>
          <t>Tamaño máximo</t>
        </is>
      </c>
      <c r="B10" s="43" t="n">
        <v>500</v>
      </c>
      <c r="C10" s="7" t="inlineStr">
        <is>
          <t>eventos</t>
        </is>
      </c>
      <c r="D10" s="7" t="inlineStr">
        <is>
          <t>tope del export</t>
        </is>
      </c>
    </row>
    <row r="11">
      <c r="A11" s="7" t="inlineStr">
        <is>
          <t>Profundidad máxima: mediana · p90 · p99</t>
        </is>
      </c>
      <c r="B11" s="14" t="inlineStr">
        <is>
          <t>1 · 5 · 10</t>
        </is>
      </c>
      <c r="C11" s="7" t="inlineStr">
        <is>
          <t>generaciones</t>
        </is>
      </c>
      <c r="D11" s="7" t="inlineStr"/>
    </row>
    <row r="12">
      <c r="A12" s="7" t="inlineStr">
        <is>
          <t>Hijos por evento (R), sin truncadas</t>
        </is>
      </c>
      <c r="B12" s="43" t="n">
        <v>0.916</v>
      </c>
      <c r="C12" s="7" t="inlineStr">
        <is>
          <t>hijos</t>
        </is>
      </c>
      <c r="D12" s="7" t="inlineStr"/>
    </row>
    <row r="13">
      <c r="A13" s="7" t="inlineStr">
        <is>
          <t>Varianza / media de los hijos</t>
        </is>
      </c>
      <c r="B13" s="43" t="n">
        <v>5.1</v>
      </c>
      <c r="C13" s="7" t="inlineStr"/>
      <c r="D13" s="7" t="inlineStr">
        <is>
          <t>sobredispersión</t>
        </is>
      </c>
    </row>
    <row r="14">
      <c r="A14" s="7" t="inlineStr">
        <is>
          <t>Fracción marcada por Centinela</t>
        </is>
      </c>
      <c r="B14" s="21" t="n">
        <v>0.225</v>
      </c>
      <c r="C14" s="7" t="inlineStr">
        <is>
          <t>%</t>
        </is>
      </c>
      <c r="D14" s="7" t="inlineStr"/>
    </row>
    <row r="15">
      <c r="A15" s="7" t="inlineStr">
        <is>
          <t>Latencia de moderación: mediana</t>
        </is>
      </c>
      <c r="B15" s="43" t="n">
        <v>139.9</v>
      </c>
      <c r="C15" s="7" t="inlineStr">
        <is>
          <t>min</t>
        </is>
      </c>
      <c r="D15" s="7" t="inlineStr">
        <is>
          <t>salida, no entrada: con la escala de D7</t>
        </is>
      </c>
    </row>
    <row r="16">
      <c r="A16" s="7" t="inlineStr">
        <is>
          <t>Latencia de moderación: p90</t>
        </is>
      </c>
      <c r="B16" s="43" t="n">
        <v>381.1</v>
      </c>
      <c r="C16" s="7" t="inlineStr">
        <is>
          <t>min</t>
        </is>
      </c>
      <c r="D16" s="7" t="inlineStr"/>
    </row>
    <row r="17">
      <c r="A17" s="7" t="inlineStr">
        <is>
          <t>Latencia de moderación: piso</t>
        </is>
      </c>
      <c r="B17" s="43" t="n">
        <v>90</v>
      </c>
      <c r="C17" s="7" t="inlineStr">
        <is>
          <t>min</t>
        </is>
      </c>
      <c r="D17" s="7" t="inlineStr">
        <is>
          <t>ninguna baja de 90</t>
        </is>
      </c>
    </row>
    <row r="18">
      <c r="A18" s="7" t="inlineStr">
        <is>
          <t>Impresiones / seguidores</t>
        </is>
      </c>
      <c r="B18" s="43" t="n">
        <v>0.15</v>
      </c>
      <c r="C18" s="7" t="inlineStr"/>
      <c r="D18" s="7" t="inlineStr">
        <is>
          <t>igual en los cinco tipos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pane ySplit="3" topLeftCell="A4" activePane="bottomLeft" state="frozen"/>
      <selection pane="bottomLeft" activeCell="A1" sqref="A1"/>
    </sheetView>
  </sheetViews>
  <sheetFormatPr baseColWidth="8" defaultRowHeight="15"/>
  <cols>
    <col width="44" customWidth="1" min="1" max="1"/>
    <col width="34" customWidth="1" min="2" max="2"/>
    <col width="14" customWidth="1" min="3" max="3"/>
    <col width="60" customWidth="1" min="4" max="4"/>
  </cols>
  <sheetData>
    <row r="1">
      <c r="A1" s="1" t="inlineStr">
        <is>
          <t>Cuentas sin simular</t>
        </is>
      </c>
    </row>
    <row r="2">
      <c r="A2" s="4" t="inlineStr">
        <is>
          <t>Todo es fórmula. Cambiá los valores azules o los de 'Parámetros CSV' y se recalcula.</t>
        </is>
      </c>
    </row>
    <row r="3">
      <c r="A3" s="5" t="inlineStr">
        <is>
          <t>Qué</t>
        </is>
      </c>
      <c r="B3" s="5" t="inlineStr">
        <is>
          <t>Fórmula</t>
        </is>
      </c>
      <c r="C3" s="5" t="inlineStr">
        <is>
          <t>Valor</t>
        </is>
      </c>
      <c r="D3" s="5" t="inlineStr">
        <is>
          <t>Nota</t>
        </is>
      </c>
    </row>
    <row r="4">
      <c r="A4" s="7" t="inlineStr">
        <is>
          <t>R de todas las cascadas</t>
        </is>
      </c>
      <c r="B4" s="28" t="inlineStr">
        <is>
          <t>medido</t>
        </is>
      </c>
      <c r="C4" s="42" t="n">
        <v>0.916</v>
      </c>
      <c r="D4" s="7" t="inlineStr"/>
    </row>
    <row r="5">
      <c r="A5" s="7" t="inlineStr">
        <is>
          <t>Impresiones / seguidores</t>
        </is>
      </c>
      <c r="B5" s="28" t="inlineStr">
        <is>
          <t>medido</t>
        </is>
      </c>
      <c r="C5" s="22" t="n">
        <v>0.15</v>
      </c>
      <c r="D5" s="7" t="inlineStr">
        <is>
          <t>lo usa la hoja Tipos de cuenta</t>
        </is>
      </c>
    </row>
    <row r="6">
      <c r="A6" s="7" t="inlineStr">
        <is>
          <t>Tamaño esperado de una cascada</t>
        </is>
      </c>
      <c r="B6" s="28" t="inlineStr">
        <is>
          <t>1 / (1 − R)</t>
        </is>
      </c>
      <c r="C6" s="40">
        <f>1/(1-C4)</f>
        <v/>
      </c>
      <c r="D6" s="7" t="inlineStr">
        <is>
          <t>11,84 medido</t>
        </is>
      </c>
    </row>
    <row r="7">
      <c r="A7" s="7" t="inlineStr">
        <is>
          <t>R de las campañas C2</t>
        </is>
      </c>
      <c r="B7" s="28" t="inlineStr">
        <is>
          <t>estimado</t>
        </is>
      </c>
      <c r="C7" s="42" t="n">
        <v>0.977</v>
      </c>
      <c r="D7" s="7" t="inlineStr">
        <is>
          <t>sale de 1 − 1/42,8</t>
        </is>
      </c>
    </row>
    <row r="8">
      <c r="A8" s="7" t="inlineStr">
        <is>
          <t>Tamaño esperado de una campaña C2</t>
        </is>
      </c>
      <c r="B8" s="28" t="inlineStr">
        <is>
          <t>1 / (1 − R C2)</t>
        </is>
      </c>
      <c r="C8" s="40">
        <f>1/(1-C7)</f>
        <v/>
      </c>
      <c r="D8" s="7" t="inlineStr">
        <is>
          <t>42,8 medido, subestimado por el tope de 500</t>
        </is>
      </c>
    </row>
    <row r="9">
      <c r="A9" s="7" t="inlineStr">
        <is>
          <t>R de C2 si una palanca la baja a</t>
        </is>
      </c>
      <c r="B9" s="28" t="inlineStr">
        <is>
          <t>escenario</t>
        </is>
      </c>
      <c r="C9" s="42" t="n">
        <v>0.95</v>
      </c>
      <c r="D9" s="7" t="inlineStr">
        <is>
          <t>cambiar para probar</t>
        </is>
      </c>
    </row>
    <row r="10">
      <c r="A10" s="7" t="inlineStr">
        <is>
          <t>Tamaño esperado con esa palanca</t>
        </is>
      </c>
      <c r="B10" s="28" t="inlineStr">
        <is>
          <t>1 / (1 − R)</t>
        </is>
      </c>
      <c r="C10" s="40">
        <f>1/(1-C9)</f>
        <v/>
      </c>
      <c r="D10" s="7" t="inlineStr">
        <is>
          <t>de 43 pasa a 20: se parte a la mitad</t>
        </is>
      </c>
    </row>
    <row r="11">
      <c r="A11" s="7" t="inlineStr">
        <is>
          <t>Días de la muestra</t>
        </is>
      </c>
      <c r="B11" s="28" t="inlineStr">
        <is>
          <t>Llegadas</t>
        </is>
      </c>
      <c r="C11" s="30">
        <f>Llegadas!$C$3</f>
        <v/>
      </c>
      <c r="D11" s="7" t="inlineStr"/>
    </row>
    <row r="12">
      <c r="A12" s="7" t="inlineStr">
        <is>
          <t>Ítems marcados por día</t>
        </is>
      </c>
      <c r="B12" s="28" t="inlineStr">
        <is>
          <t>marcados ÷ días</t>
        </is>
      </c>
      <c r="C12" s="40">
        <f>Marca!$B$8/C11</f>
        <v/>
      </c>
      <c r="D12" s="7" t="inlineStr"/>
    </row>
    <row r="13">
      <c r="A13" s="7" t="inlineStr">
        <is>
          <t>Segundos de atención por ítem</t>
        </is>
      </c>
      <c r="B13" s="28" t="inlineStr">
        <is>
          <t>costo por ítem ÷ costo por hora × 3600</t>
        </is>
      </c>
      <c r="C13" s="44">
        <f>'Parámetros CSV'!$B$8/'Parámetros CSV'!$B$5*3600</f>
        <v/>
      </c>
      <c r="D13" s="7" t="inlineStr">
        <is>
          <t>supuesto de D20: preguntar al tutor</t>
        </is>
      </c>
    </row>
    <row r="14">
      <c r="A14" s="7" t="inlineStr">
        <is>
          <t>Ítems que revisa un moderador por día</t>
        </is>
      </c>
      <c r="B14" s="28" t="inlineStr">
        <is>
          <t>86400 ÷ segundos por ítem</t>
        </is>
      </c>
      <c r="C14" s="23">
        <f>86400/C13</f>
        <v/>
      </c>
      <c r="D14" s="7" t="inlineStr"/>
    </row>
    <row r="15">
      <c r="A15" s="7" t="inlineStr">
        <is>
          <t>Moderadores por turno (c)</t>
        </is>
      </c>
      <c r="B15" s="28" t="inlineStr">
        <is>
          <t>CSV, valor base</t>
        </is>
      </c>
      <c r="C15" s="30">
        <f>'Parámetros CSV'!$B$6</f>
        <v/>
      </c>
      <c r="D15" s="7" t="inlineStr"/>
    </row>
    <row r="16">
      <c r="A16" s="7" t="inlineStr">
        <is>
          <t>Ocupación de los moderadores ρ</t>
        </is>
      </c>
      <c r="B16" s="28" t="inlineStr">
        <is>
          <t>λ ÷ (c · μ)</t>
        </is>
      </c>
      <c r="C16" s="32">
        <f>C12/(C15*C14)</f>
        <v/>
      </c>
      <c r="D16" s="7" t="inlineStr">
        <is>
          <t>con la escala de la muestra: por eso D7 bloquea</t>
        </is>
      </c>
    </row>
    <row r="17">
      <c r="A17" s="7" t="inlineStr">
        <is>
          <t>Costo social por impresión nociva</t>
        </is>
      </c>
      <c r="B17" s="28" t="inlineStr">
        <is>
          <t>CSV</t>
        </is>
      </c>
      <c r="C17" s="45">
        <f>'Parámetros CSV'!$B$16</f>
        <v/>
      </c>
      <c r="D17" s="7" t="inlineStr"/>
    </row>
    <row r="18">
      <c r="A18" s="7" t="inlineStr">
        <is>
          <t>Churn por impresión nociva</t>
        </is>
      </c>
      <c r="B18" s="28" t="inlineStr">
        <is>
          <t>tasa de churn × valor de marca</t>
        </is>
      </c>
      <c r="C18" s="45">
        <f>'Parámetros CSV'!$B$23*'Parámetros CSV'!$B$22</f>
        <v/>
      </c>
      <c r="D18" s="7" t="inlineStr"/>
    </row>
    <row r="19">
      <c r="A19" s="7" t="inlineStr">
        <is>
          <t>Costo total de una impresión nociva</t>
        </is>
      </c>
      <c r="B19" s="28" t="inlineStr">
        <is>
          <t>social + churn</t>
        </is>
      </c>
      <c r="C19" s="46">
        <f>C17+C18</f>
        <v/>
      </c>
      <c r="D19" s="7" t="inlineStr">
        <is>
          <t>USD</t>
        </is>
      </c>
    </row>
    <row r="20">
      <c r="A20" s="7" t="inlineStr">
        <is>
          <t>Ingreso de una impresión legítima</t>
        </is>
      </c>
      <c r="B20" s="28" t="inlineStr">
        <is>
          <t>CSV</t>
        </is>
      </c>
      <c r="C20" s="45">
        <f>'Parámetros CSV'!$B$4</f>
        <v/>
      </c>
      <c r="D20" s="7" t="inlineStr">
        <is>
          <t>USD</t>
        </is>
      </c>
    </row>
    <row r="21">
      <c r="A21" s="7" t="inlineStr">
        <is>
          <t>Una nociva cuesta / una legítima rinde</t>
        </is>
      </c>
      <c r="B21" s="28" t="inlineStr"/>
      <c r="C21" s="40">
        <f>C19/C20</f>
        <v/>
      </c>
      <c r="D21" s="7" t="inlineStr">
        <is>
          <t>veces</t>
        </is>
      </c>
    </row>
    <row r="22">
      <c r="A22" s="7" t="inlineStr">
        <is>
          <t>Ingreso perdido al bajar una publicación buena</t>
        </is>
      </c>
      <c r="B22" s="28" t="inlineStr">
        <is>
          <t>medido, mediana</t>
        </is>
      </c>
      <c r="C22" s="22" t="n">
        <v>0.07000000000000001</v>
      </c>
      <c r="D22" s="7" t="inlineStr">
        <is>
          <t>USD; 87 si es de un difusor masivo</t>
        </is>
      </c>
    </row>
    <row r="23">
      <c r="A23" s="7" t="inlineStr">
        <is>
          <t>Costo de bajar una publicación buena</t>
        </is>
      </c>
      <c r="B23" s="28" t="inlineStr">
        <is>
          <t>reputacional + ingreso perdido</t>
        </is>
      </c>
      <c r="C23" s="8">
        <f>'Parámetros CSV'!$B$15+C22</f>
        <v/>
      </c>
      <c r="D23" s="7" t="inlineStr">
        <is>
          <t>USD</t>
        </is>
      </c>
    </row>
    <row r="24">
      <c r="A24" s="7" t="inlineStr">
        <is>
          <t>Tipo de cambio</t>
        </is>
      </c>
      <c r="B24" s="28" t="inlineStr">
        <is>
          <t>publicación buena ÷ impresión nociva</t>
        </is>
      </c>
      <c r="C24" s="23">
        <f>C23/C19</f>
        <v/>
      </c>
      <c r="D24" s="7" t="inlineStr">
        <is>
          <t>impresiones nocivas que hay que evitar para pagar una publicación buena bajada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3"/>
  <sheetViews>
    <sheetView showGridLines="0" workbookViewId="0">
      <pane xSplit="1" ySplit="3" topLeftCell="B4"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48" customWidth="1" min="2" max="2"/>
    <col width="16" customWidth="1" min="3" max="3"/>
    <col width="12" customWidth="1" min="4" max="4"/>
    <col width="52" customWidth="1" min="5" max="5"/>
    <col width="11" customWidth="1" min="6" max="6"/>
    <col width="11" customWidth="1" min="7" max="7"/>
    <col width="50" customWidth="1" min="8" max="8"/>
    <col width="48" customWidth="1" min="9" max="9"/>
    <col width="52" customWidth="1" min="10" max="10"/>
    <col width="46" customWidth="1" min="11" max="11"/>
    <col width="12" customWidth="1" min="12" max="12"/>
    <col width="20" customWidth="1" min="13" max="13"/>
  </cols>
  <sheetData>
    <row r="1">
      <c r="A1" s="1" t="inlineStr">
        <is>
          <t>Qué es cada columna</t>
        </is>
      </c>
    </row>
    <row r="2">
      <c r="A2" s="4" t="inlineStr">
        <is>
          <t>RedBaires perdió la documentación de los campos: reconstruirla es parte de la nota. Los números son de las 66.021 filas que quedan sin los 132 duplicados, antes de cualquier otra limpieza, salvo donde se aclara. En azul, lo medido.</t>
        </is>
      </c>
    </row>
    <row r="3" ht="28" customHeight="1">
      <c r="A3" s="5" t="inlineStr">
        <is>
          <t>Columna</t>
        </is>
      </c>
      <c r="B3" s="5" t="inlineStr">
        <is>
          <t>Qué es</t>
        </is>
      </c>
      <c r="C3" s="5" t="inlineStr">
        <is>
          <t>Tipo de dato</t>
        </is>
      </c>
      <c r="D3" s="5" t="inlineStr">
        <is>
          <t>Unidad</t>
        </is>
      </c>
      <c r="E3" s="5" t="inlineStr">
        <is>
          <t>Valores / rango</t>
        </is>
      </c>
      <c r="F3" s="5" t="inlineStr">
        <is>
          <t>Faltantes</t>
        </is>
      </c>
      <c r="G3" s="5" t="inlineStr">
        <is>
          <t>% faltante</t>
        </is>
      </c>
      <c r="H3" s="5" t="inlineStr">
        <is>
          <t>Suciedad detectada y qué hacemos</t>
        </is>
      </c>
      <c r="I3" s="5" t="inlineStr">
        <is>
          <t>Cómo lo sabemos / verificación</t>
        </is>
      </c>
      <c r="J3" s="5" t="inlineStr">
        <is>
          <t>Relación con otras columnas</t>
        </is>
      </c>
      <c r="K3" s="5" t="inlineStr">
        <is>
          <t>Uso en el modelo</t>
        </is>
      </c>
      <c r="L3" s="5" t="inlineStr">
        <is>
          <t>Decisión</t>
        </is>
      </c>
      <c r="M3" s="5" t="inlineStr">
        <is>
          <t>Ejemplo de valor</t>
        </is>
      </c>
    </row>
    <row r="4" ht="44.5" customHeight="1">
      <c r="A4" s="47" t="inlineStr">
        <is>
          <t>event_id</t>
        </is>
      </c>
      <c r="B4" s="48" t="inlineStr">
        <is>
          <t>Identificador del evento. Cada fila del export es un evento: la publicación original o uno de sus reenvíos. Es la clave de la tabla.</t>
        </is>
      </c>
      <c r="C4" s="48" t="inlineStr">
        <is>
          <t>texto (identificador)</t>
        </is>
      </c>
      <c r="D4" s="48" t="inlineStr">
        <is>
          <t>—</t>
        </is>
      </c>
      <c r="E4" s="49" t="inlineStr">
        <is>
          <t>66.021 valores distintos, de la forma E + 7 dígitos (E0000001 a E0066021)</t>
        </is>
      </c>
      <c r="F4" s="50" t="n">
        <v>0</v>
      </c>
      <c r="G4" s="51" t="n">
        <v>0</v>
      </c>
      <c r="H4" s="48" t="inlineStr">
        <is>
          <t>Las 132 filas duplicadas repiten la fila entera, event_id incluido. Se sacan antes de medir y la clave queda única.</t>
        </is>
      </c>
      <c r="I4" s="48" t="inlineStr">
        <is>
          <t>Es clave: después de sacar los duplicados cada valor aparece una sola vez.</t>
        </is>
      </c>
      <c r="J4" s="48" t="inlineStr">
        <is>
          <t>parent_event_id apunta a un event_id. No hay padres fuera de la muestra: los 61.021 padres existen como event_id.</t>
        </is>
      </c>
      <c r="K4" s="48" t="inlineStr">
        <is>
          <t>No entra al modelo; sirve para reconstruir el árbol.</t>
        </is>
      </c>
      <c r="L4" s="48" t="inlineStr">
        <is>
          <t>—</t>
        </is>
      </c>
      <c r="M4" s="49" t="inlineStr">
        <is>
          <t>E0000001</t>
        </is>
      </c>
    </row>
    <row r="5" ht="71.5" customHeight="1">
      <c r="A5" s="47" t="inlineStr">
        <is>
          <t>cascade_id</t>
        </is>
      </c>
      <c r="B5" s="48" t="inlineStr">
        <is>
          <t>Identificador de la cascada: el árbol de reenvíos que sale de una publicación. Todas las filas de un mismo árbol comparten el valor.</t>
        </is>
      </c>
      <c r="C5" s="48" t="inlineStr">
        <is>
          <t>texto (identificador)</t>
        </is>
      </c>
      <c r="D5" s="48" t="inlineStr">
        <is>
          <t>—</t>
        </is>
      </c>
      <c r="E5" s="49" t="inlineStr">
        <is>
          <t>5.000 cascadas. Eventos por cascada: mín 1 · p10 1 · mediana 2 · media 13,2 · p90 29 · máx 500. p99 188. 2.019 cascadas (40 %) tienen un solo evento</t>
        </is>
      </c>
      <c r="F5" s="50" t="n">
        <v>0</v>
      </c>
      <c r="G5" s="51" t="n">
        <v>0</v>
      </c>
      <c r="H5" s="48" t="inlineStr">
        <is>
          <t>14 cascadas tienen exactamente 500 eventos, todas del sufijo C2: el export corta ahí y la cola está censurada. Se sacan para medir R y la simulación también corta en 500 al validar (D14).</t>
        </is>
      </c>
      <c r="I5" s="48" t="inlineStr">
        <is>
          <t>Clave; 1 a 1 con message_id en el 100 % (misma numeración: C00001 con M00001). Cada hijo tiene la misma cascade_id que su padre en el 100 %.</t>
        </is>
      </c>
      <c r="J5" s="48" t="inlineStr">
        <is>
          <t>Agrupa a message_id, hashtag_cluster_ref, topic_code y content_half_life_min, que tienen un solo valor por cascada.</t>
        </is>
      </c>
      <c r="K5" s="48" t="inlineStr">
        <is>
          <t>Unidad de validación: el simulador tiene que reproducir la distribución de tamaños (mediana 2, p90 29, p99 188, 40 % de un evento).</t>
        </is>
      </c>
      <c r="L5" s="48" t="inlineStr">
        <is>
          <t>D14</t>
        </is>
      </c>
      <c r="M5" s="49" t="inlineStr">
        <is>
          <t>C00001</t>
        </is>
      </c>
    </row>
    <row r="6" ht="58" customHeight="1">
      <c r="A6" s="47" t="inlineStr">
        <is>
          <t>message_id</t>
        </is>
      </c>
      <c r="B6" s="48" t="inlineStr">
        <is>
          <t>La publicación: la pieza de contenido original de la que sale la cascada. Es la entidad del modelo, y «publicar» es el evento que la crea.</t>
        </is>
      </c>
      <c r="C6" s="48" t="inlineStr">
        <is>
          <t>texto (identificador)</t>
        </is>
      </c>
      <c r="D6" s="48" t="inlineStr">
        <is>
          <t>—</t>
        </is>
      </c>
      <c r="E6" s="49" t="inlineStr">
        <is>
          <t>5.000 valores distintos, uno por cascada</t>
        </is>
      </c>
      <c r="F6" s="50" t="n">
        <v>0</v>
      </c>
      <c r="G6" s="51" t="n">
        <v>0</v>
      </c>
      <c r="H6" s="48" t="inlineStr">
        <is>
          <t>Nada detectado.</t>
        </is>
      </c>
      <c r="I6" s="48" t="inlineStr">
        <is>
          <t>Clave; 1 a 1 con cascade_id en el 100 %.</t>
        </is>
      </c>
      <c r="J6" s="48" t="inlineStr">
        <is>
          <t>Mismo número que cascade_id; toda la cascada comparte el message_id de su semilla.</t>
        </is>
      </c>
      <c r="K6" s="48" t="inlineStr">
        <is>
          <t>Identifica a la entidad: cada publicación simulada es un message_id, con el frente de reenvíos vivos como atributo.</t>
        </is>
      </c>
      <c r="L6" s="48" t="inlineStr">
        <is>
          <t>D1</t>
        </is>
      </c>
      <c r="M6" s="49" t="inlineStr">
        <is>
          <t>M00001</t>
        </is>
      </c>
    </row>
    <row r="7" ht="71.5" customHeight="1">
      <c r="A7" s="47" t="inlineStr">
        <is>
          <t>seed_flag</t>
        </is>
      </c>
      <c r="B7" s="48" t="inlineStr">
        <is>
          <t>Marca el evento que publica la pieza original, la semilla de la cascada: vale 1 ahí y 0 en los reenvíos.</t>
        </is>
      </c>
      <c r="C7" s="48" t="inlineStr">
        <is>
          <t>binaria (0/1)</t>
        </is>
      </c>
      <c r="D7" s="48" t="inlineStr">
        <is>
          <t>—</t>
        </is>
      </c>
      <c r="E7" s="49" t="inlineStr">
        <is>
          <t>1: 5.000 (7,6 %) · 0: 61.021 (92,4 %)</t>
        </is>
      </c>
      <c r="F7" s="50" t="n">
        <v>0</v>
      </c>
      <c r="G7" s="51" t="n">
        <v>0</v>
      </c>
      <c r="H7" s="48" t="inlineStr">
        <is>
          <t>Nada detectado.</t>
        </is>
      </c>
      <c r="I7" s="48" t="inlineStr">
        <is>
          <t>Hay exactamente una semilla por cascada. seed_flag = 1 coincide en el 100 % con parent_event_id vacío y con cascade_depth = 0, y en la semilla inter_event_time_min vale siempre 0.</t>
        </is>
      </c>
      <c r="J7" s="48" t="inlineStr">
        <is>
          <t>Define dónde empieza el árbol: parent_event_id, cascade_depth e inter_event_time_min se leen distinto en la semilla.</t>
        </is>
      </c>
      <c r="K7" s="48" t="inlineStr">
        <is>
          <t>El evento publicar: las fechas de las semillas dan la tasa por hora del día y día de la semana (hoja Llegadas), y su tipo de cuenta, la mezcla de la semilla.</t>
        </is>
      </c>
      <c r="L7" s="48" t="inlineStr">
        <is>
          <t>D15 · D17</t>
        </is>
      </c>
      <c r="M7" s="49" t="inlineStr">
        <is>
          <t>1</t>
        </is>
      </c>
    </row>
    <row r="8" ht="58" customHeight="1">
      <c r="A8" s="47" t="inlineStr">
        <is>
          <t>forward_datetime</t>
        </is>
      </c>
      <c r="B8" s="48" t="inlineStr">
        <is>
          <t>Fecha y hora del evento, con microsegundos: cuándo se publicó la pieza o cuándo se hizo el reenvío.</t>
        </is>
      </c>
      <c r="C8" s="48" t="inlineStr">
        <is>
          <t>fecha y hora (texto en el CSV)</t>
        </is>
      </c>
      <c r="D8" s="48" t="inlineStr">
        <is>
          <t>fecha</t>
        </is>
      </c>
      <c r="E8" s="49" t="inlineStr">
        <is>
          <t>del 01/03/2025 00:12 al 28/08/2025 10:42 sin las fechas de 2099: 180 días. Semillas por hora: 1,16 de promedio</t>
        </is>
      </c>
      <c r="F8" s="50" t="n">
        <v>0</v>
      </c>
      <c r="G8" s="51" t="n">
        <v>0</v>
      </c>
      <c r="H8" s="48" t="inlineStr">
        <is>
          <t>39 fechas en el año 2099 (2 de ellas en semillas). Se sacan: se toman como faltantes. Además, en 22 hijos la fecha queda antes que la del padre al restar.</t>
        </is>
      </c>
      <c r="I8" s="48" t="inlineStr">
        <is>
          <t>La resta con la fecha del padre coincide con inter_event_time_min en el 99,8 % (tolerancia de 0,1 min).</t>
        </is>
      </c>
      <c r="J8" s="48" t="inlineStr">
        <is>
          <t>inter_event_time_min es la diferencia con la fecha del padre. En la semilla, la fecha es la del evento publicar.</t>
        </is>
      </c>
      <c r="K8" s="48" t="inlineStr">
        <is>
          <t>Tasa de llegadas de publicar por hora del día y día de la semana (valle a las 3 h con 0,51 por hora, pico a las 17 h con 1,62).</t>
        </is>
      </c>
      <c r="L8" s="48" t="inlineStr">
        <is>
          <t>D15 · D19</t>
        </is>
      </c>
      <c r="M8" s="49" t="inlineStr">
        <is>
          <t>2025-07-15 10:50:54.611892</t>
        </is>
      </c>
    </row>
    <row r="9" ht="58" customHeight="1">
      <c r="A9" s="47" t="inlineStr">
        <is>
          <t>actor_id</t>
        </is>
      </c>
      <c r="B9" s="48" t="inlineStr">
        <is>
          <t>La cuenta que publica o reenvía en ese evento.</t>
        </is>
      </c>
      <c r="C9" s="48" t="inlineStr">
        <is>
          <t>texto (identificador)</t>
        </is>
      </c>
      <c r="D9" s="48" t="inlineStr">
        <is>
          <t>—</t>
        </is>
      </c>
      <c r="E9" s="49" t="inlineStr">
        <is>
          <t>4.000 cuentas. Eventos por cuenta: mín 3 · p10 10 · mediana 14 · media 16,5 · p90 21 · máx 77</t>
        </is>
      </c>
      <c r="F9" s="50" t="n">
        <v>0</v>
      </c>
      <c r="G9" s="51" t="n">
        <v>0</v>
      </c>
      <c r="H9" s="48" t="inlineStr">
        <is>
          <t>Nada detectado en el identificador. Los seguidores de una misma cuenta cambian entre filas (ver actor_follower_count).</t>
        </is>
      </c>
      <c r="I9" s="48" t="inlineStr">
        <is>
          <t>Los atributos fijos de la cuenta (tipo, verificada, antigüedad, seguidos, huella de dispositivo) no cambian entre filas del mismo actor_id en el 100 %.</t>
        </is>
      </c>
      <c r="J9" s="48" t="inlineStr">
        <is>
          <t>Agrupa a account_type_code, verified_flag, account_age_days, actor_following_count y device_fingerprint_code, que son de la cuenta.</t>
        </is>
      </c>
      <c r="K9" s="48" t="inlineStr">
        <is>
          <t>4.000 cuentas; no es entidad: el enunciado no deja modelar una entidad por usuario. La cuenta entra como atributo del frente, con su tipo y sus seguidores.</t>
        </is>
      </c>
      <c r="L9" s="48" t="inlineStr">
        <is>
          <t>D1</t>
        </is>
      </c>
      <c r="M9" s="49" t="inlineStr">
        <is>
          <t>U003409</t>
        </is>
      </c>
    </row>
    <row r="10" ht="98.5" customHeight="1">
      <c r="A10" s="47" t="inlineStr">
        <is>
          <t>actor_follower_count</t>
        </is>
      </c>
      <c r="B10" s="48" t="inlineStr">
        <is>
          <t>Cantidad de seguidores de la cuenta que actúa en el evento. Es la audiencia a la que le llega el reenvío.</t>
        </is>
      </c>
      <c r="C10" s="48" t="inlineStr">
        <is>
          <t>entero</t>
        </is>
      </c>
      <c r="D10" s="48" t="inlineStr">
        <is>
          <t>cuentas</t>
        </is>
      </c>
      <c r="E10" s="49" t="inlineStr">
        <is>
          <t>mín 0 · p10 319 · mediana 438 · media 29.264 · p90 45.927 · máx 3.503.446. Por tipo, mediana: BROADCASTER 422.172 · CREATOR 101.192 · resto unos 410</t>
        </is>
      </c>
      <c r="F10" s="50" t="n">
        <v>0</v>
      </c>
      <c r="G10" s="51" t="n">
        <v>0</v>
      </c>
      <c r="H10" s="48" t="inlineStr">
        <is>
          <t>52 eventos con 0 seguidores (52 cuentas distintas, una vez cada una). 3.627 de las 4.000 cuentas tienen más de un valor. Se toma el valor de cada fila como los seguidores al momento del evento; ninguno de los dos casos cambia las estimaciones.</t>
        </is>
      </c>
      <c r="I10" s="48" t="inlineStr">
        <is>
          <t>Dato. Que 3.627 cuentas tengan varios valores se explica si es el conteo al momento del evento; es la lectura que usamos.</t>
        </is>
      </c>
      <c r="J10" s="48" t="inlineStr">
        <is>
          <t>Impresiones / seguidores: mediana 0,152, entre 0,151 y 0,156 en los cinco tipos. Verificadas: 2 % debajo de 1.000 seguidores y 95 % arriba del millón. Los niveles nano, micro, macro y mega no vienen en los datos: con cortes de 1.000, 10.000, 100.000 y un millón, el 80 % de los eventos queda debajo de todos.</t>
        </is>
      </c>
      <c r="K10" s="48" t="inlineStr">
        <is>
          <t>Impresiones = 0,15 × seguidores. Los seguidores se sortean de la empírica por tipo de cuenta.</t>
        </is>
      </c>
      <c r="L10" s="48" t="inlineStr">
        <is>
          <t>D12 · D17</t>
        </is>
      </c>
      <c r="M10" s="49" t="inlineStr">
        <is>
          <t>208000</t>
        </is>
      </c>
    </row>
    <row r="11" ht="31" customHeight="1">
      <c r="A11" s="47" t="inlineStr">
        <is>
          <t>actor_following_count</t>
        </is>
      </c>
      <c r="B11" s="48" t="inlineStr">
        <is>
          <t>Cantidad de cuentas a las que sigue la cuenta que actúa.</t>
        </is>
      </c>
      <c r="C11" s="48" t="inlineStr">
        <is>
          <t>entero</t>
        </is>
      </c>
      <c r="D11" s="48" t="inlineStr">
        <is>
          <t>cuentas</t>
        </is>
      </c>
      <c r="E11" s="49" t="inlineStr">
        <is>
          <t>mín 20 · p10 20 · mediana 33 · media 135 · p90 374 · máx 5.325</t>
        </is>
      </c>
      <c r="F11" s="50" t="n">
        <v>0</v>
      </c>
      <c r="G11" s="51" t="n">
        <v>0</v>
      </c>
      <c r="H11" s="48" t="inlineStr">
        <is>
          <t>Nada detectado.</t>
        </is>
      </c>
      <c r="I11" s="48" t="inlineStr">
        <is>
          <t>Dato. El valor no cambia entre filas de la misma cuenta.</t>
        </is>
      </c>
      <c r="J11" s="48" t="inlineStr">
        <is>
          <t>Atributo de la cuenta, como actor_id.</t>
        </is>
      </c>
      <c r="K11" s="48" t="inlineStr">
        <is>
          <t>Sin uso: no entra al modelo.</t>
        </is>
      </c>
      <c r="L11" s="48" t="inlineStr">
        <is>
          <t>—</t>
        </is>
      </c>
      <c r="M11" s="49" t="inlineStr">
        <is>
          <t>638</t>
        </is>
      </c>
    </row>
    <row r="12" ht="112" customHeight="1">
      <c r="A12" s="47" t="inlineStr">
        <is>
          <t>account_age_days</t>
        </is>
      </c>
      <c r="B12" s="48" t="inlineStr">
        <is>
          <t>Antigüedad de la cuenta que actúa, en días.</t>
        </is>
      </c>
      <c r="C12" s="48" t="inlineStr">
        <is>
          <t>entero</t>
        </is>
      </c>
      <c r="D12" s="48" t="inlineStr">
        <is>
          <t>días</t>
        </is>
      </c>
      <c r="E12" s="49" t="inlineStr">
        <is>
          <t>mín 1 · p10 36 · mediana 526 · media 779 · p90 1.834 · máx 6.000. Cuentas de menos de 30 días: 8,2 % de los eventos</t>
        </is>
      </c>
      <c r="F12" s="50" t="n">
        <v>0</v>
      </c>
      <c r="G12" s="51" t="n">
        <v>0</v>
      </c>
      <c r="H12" s="48" t="inlineStr">
        <is>
          <t>514 eventos, de 36 cuentas, tienen más días que los que van de 2013 (cuando arranca la plataforma) a la fecha del evento: cuentas más viejas que la plataforma, hasta 6.000 días. No se corrigen porque no cambian ninguna estimación. El valor no cambia entre eventos de la misma cuenta a lo largo de los 180 días, así que no sabemos a qué fecha está tomado.</t>
        </is>
      </c>
      <c r="I12" s="48" t="inlineStr">
        <is>
          <t>Dato.</t>
        </is>
      </c>
      <c r="J12" s="48" t="inlineStr">
        <is>
          <t>Cuenta nueva (menos de 30 días): 12,9 % de los eventos en cascadas C2 contra 5,8 % en el resto.</t>
        </is>
      </c>
      <c r="K12" s="48" t="inlineStr">
        <is>
          <t>Señal de coordinación. La regla de detección es: al menos una cuenta de menos de 30 días en las primeras 2 h de la publicación (precisión 0,21 y recall 0,47 contra C2).</t>
        </is>
      </c>
      <c r="L12" s="48" t="inlineStr">
        <is>
          <t>D11</t>
        </is>
      </c>
      <c r="M12" s="49" t="inlineStr">
        <is>
          <t>1253</t>
        </is>
      </c>
    </row>
    <row r="13" ht="58" customHeight="1">
      <c r="A13" s="47" t="inlineStr">
        <is>
          <t>verified_flag</t>
        </is>
      </c>
      <c r="B13" s="48" t="inlineStr">
        <is>
          <t>Vale 1 si la cuenta que actúa está verificada.</t>
        </is>
      </c>
      <c r="C13" s="48" t="inlineStr">
        <is>
          <t>binaria (0/1)</t>
        </is>
      </c>
      <c r="D13" s="48" t="inlineStr">
        <is>
          <t>—</t>
        </is>
      </c>
      <c r="E13" s="49" t="inlineStr">
        <is>
          <t>1: 12,7 % · 0: 87,3 %</t>
        </is>
      </c>
      <c r="F13" s="50" t="n">
        <v>0</v>
      </c>
      <c r="G13" s="51" t="n">
        <v>0</v>
      </c>
      <c r="H13" s="48" t="inlineStr">
        <is>
          <t>Nada detectado.</t>
        </is>
      </c>
      <c r="I13" s="48" t="inlineStr">
        <is>
          <t>Dato. El valor no cambia entre filas de la misma cuenta.</t>
        </is>
      </c>
      <c r="J13" s="48" t="inlineStr">
        <is>
          <t>Va con la audiencia: 2,4 % verificadas debajo de 1.000 seguidores y 94,9 % arriba del millón. No cambia la marca: se marca el 22,9 % de las verificadas y el 23,5 % del resto.</t>
        </is>
      </c>
      <c r="K13" s="48" t="inlineStr">
        <is>
          <t>Probabilidad de remoción: a la mitad si la cuenta está verificada. La indulgencia que dice el enunciado no se ve en la marca, así que va en la remoción.</t>
        </is>
      </c>
      <c r="L13" s="48" t="inlineStr">
        <is>
          <t>D10</t>
        </is>
      </c>
      <c r="M13" s="49" t="inlineStr">
        <is>
          <t>1</t>
        </is>
      </c>
    </row>
    <row r="14" ht="98.5" customHeight="1">
      <c r="A14" s="47" t="inlineStr">
        <is>
          <t>account_type_code</t>
        </is>
      </c>
      <c r="B14" s="48" t="inlineStr">
        <is>
          <t>Rol de la cuenta: BROADCASTER es el difusor masivo, CREATOR el creador, AGGREGATOR el reposteador, LURKER el durmiente y STANDARD la cuenta estándar.</t>
        </is>
      </c>
      <c r="C14" s="48" t="inlineStr">
        <is>
          <t>categórica (5 valores)</t>
        </is>
      </c>
      <c r="D14" s="48" t="inlineStr">
        <is>
          <t>—</t>
        </is>
      </c>
      <c r="E14" s="49" t="inlineStr">
        <is>
          <t>En todos los eventos: STANDARD 49,1 % · AGGREGATOR 22,0 % · LURKER 19,2 % · CREATOR 6,1 % · BROADCASTER 3,6 %. En semillas: STANDARD 39 % · AGGREGATOR 18 % · CREATOR 17 % · LURKER 15 % · BROADCASTER 12 %. En reenvíos: STANDARD 50 % · AGGREGATOR 22 % · LURKER 20 % · CREATOR 5 % · BROADCASTER 3 %</t>
        </is>
      </c>
      <c r="F14" s="50" t="n">
        <v>0</v>
      </c>
      <c r="G14" s="51" t="n">
        <v>0</v>
      </c>
      <c r="H14" s="48" t="inlineStr">
        <is>
          <t>Nada detectado: siempre en mayúsculas y sin faltantes.</t>
        </is>
      </c>
      <c r="I14" s="48" t="inlineStr">
        <is>
          <t>Por los roles que nombra el enunciado (§5); el mapeo de cada código a un rol es nuestro. El valor no cambia entre filas de la misma cuenta.</t>
        </is>
      </c>
      <c r="J14" s="48" t="inlineStr">
        <is>
          <t>Hijos medios por tipo, sin las 14 cascadas cortadas: BROADCASTER 4,44 · CREATOR 3,53 · AGGREGATOR 0,58 · LURKER 0,59 · STANDARD 0,59. Los roles no coinciden con los niveles de audiencia: son dos variables distintas.</t>
        </is>
      </c>
      <c r="K14" s="48" t="inlineStr">
        <is>
          <t>El factor que más mueve R. Tipo de la semilla (discreta) y tipos del frente hijo (multinomial fija), con R por tipo.</t>
        </is>
      </c>
      <c r="L14" s="48" t="inlineStr">
        <is>
          <t>D17</t>
        </is>
      </c>
      <c r="M14" s="49" t="inlineStr">
        <is>
          <t>BROADCASTER</t>
        </is>
      </c>
    </row>
    <row r="15" ht="44.5" customHeight="1">
      <c r="A15" s="47" t="inlineStr">
        <is>
          <t>parent_event_id</t>
        </is>
      </c>
      <c r="B15" s="48" t="inlineStr">
        <is>
          <t>El event_id del evento del que sale este reenvío: quién le pasó la pieza a esta cuenta.</t>
        </is>
      </c>
      <c r="C15" s="48" t="inlineStr">
        <is>
          <t>texto (identificador)</t>
        </is>
      </c>
      <c r="D15" s="48" t="inlineStr">
        <is>
          <t>—</t>
        </is>
      </c>
      <c r="E15" s="49" t="inlineStr">
        <is>
          <t>25.186 padres distintos (los eventos que tuvieron al menos un hijo)</t>
        </is>
      </c>
      <c r="F15" s="50" t="n">
        <v>5000</v>
      </c>
      <c r="G15" s="51" t="n">
        <v>0.07573347874161251</v>
      </c>
      <c r="H15" s="48" t="inlineStr">
        <is>
          <t>Vacío en las 5.000 semillas, que no tienen padre: no es un faltante.</t>
        </is>
      </c>
      <c r="I15" s="48" t="inlineStr">
        <is>
          <t>No hay padres fuera de la muestra. El padre está siempre en la misma cascada (100 %).</t>
        </is>
      </c>
      <c r="J15" s="48" t="inlineStr">
        <is>
          <t>Contar cuántas veces aparece un event_id como padre da reshare_count_from_actor en el 100 %. cascade_depth es la del padre + 1.</t>
        </is>
      </c>
      <c r="K15" s="48" t="inlineStr">
        <is>
          <t>Reconstruye el árbol y define R, los hijos por evento.</t>
        </is>
      </c>
      <c r="L15" s="48" t="inlineStr">
        <is>
          <t>D16</t>
        </is>
      </c>
      <c r="M15" s="49" t="inlineStr">
        <is>
          <t>E0000002</t>
        </is>
      </c>
    </row>
    <row r="16" ht="71.5" customHeight="1">
      <c r="A16" s="47" t="inlineStr">
        <is>
          <t>cascade_depth</t>
        </is>
      </c>
      <c r="B16" s="48" t="inlineStr">
        <is>
          <t>Generación del evento dentro de la cascada: 0 es la semilla, 1 los reenvíos directos, 2 los reenvíos de reenvíos, y así.</t>
        </is>
      </c>
      <c r="C16" s="48" t="inlineStr">
        <is>
          <t>entero</t>
        </is>
      </c>
      <c r="D16" s="48" t="inlineStr">
        <is>
          <t>generaciones</t>
        </is>
      </c>
      <c r="E16" s="49" t="inlineStr">
        <is>
          <t>de 0 a 15. Eventos por generación: 0: 5.000 · 1: 11.961 · 2: 12.483 · 3: 11.300 · 4: 9.605 · 5: 6.481 · 6: 4.328 · 7: 2.457 · 8: 1.365 · 9: 637 · 10: 253 · 11: 98 · 12: 36 · 13: 11 · 14: 3 · 15: 3</t>
        </is>
      </c>
      <c r="F16" s="50" t="n">
        <v>0</v>
      </c>
      <c r="G16" s="51" t="n">
        <v>0</v>
      </c>
      <c r="H16" s="48" t="inlineStr">
        <is>
          <t>Nada detectado.</t>
        </is>
      </c>
      <c r="I16" s="48" t="inlineStr">
        <is>
          <t>Es la del padre + 1 en el 100 % de los reenvíos.</t>
        </is>
      </c>
      <c r="J16" s="48" t="inlineStr">
        <is>
          <t>Hijos medios por generación, sin las cortadas: 2,35 · 1,00 · 0,85 · 0,78 · 0,68 · … · 0,37 en la 11. De la 12 en adelante hay menos de 40 eventos.</t>
        </is>
      </c>
      <c r="K16" s="48" t="inlineStr">
        <is>
          <t>Decaimiento por generación δ(g): hijos medios de g sobre los de g = 1.</t>
        </is>
      </c>
      <c r="L16" s="48" t="inlineStr">
        <is>
          <t>D18</t>
        </is>
      </c>
      <c r="M16" s="49" t="inlineStr">
        <is>
          <t>1</t>
        </is>
      </c>
    </row>
    <row r="17" ht="58" customHeight="1">
      <c r="A17" s="47" t="inlineStr">
        <is>
          <t>reshare_count_from_actor</t>
        </is>
      </c>
      <c r="B17" s="48" t="inlineStr">
        <is>
          <t>Cantidad de reenvíos directos que tuvo el evento: sus hijos en el árbol.</t>
        </is>
      </c>
      <c r="C17" s="48" t="inlineStr">
        <is>
          <t>entero</t>
        </is>
      </c>
      <c r="D17" s="48" t="inlineStr">
        <is>
          <t>reenvíos</t>
        </is>
      </c>
      <c r="E17" s="49" t="inlineStr">
        <is>
          <t>mín 0 · p10 0 · mediana 0 · media 0,92 · p90 2 · máx 45. Media sin las cortadas: 0,916</t>
        </is>
      </c>
      <c r="F17" s="50" t="n">
        <v>0</v>
      </c>
      <c r="G17" s="51" t="n">
        <v>0</v>
      </c>
      <c r="H17" s="48" t="inlineStr">
        <is>
          <t>Nada detectado.</t>
        </is>
      </c>
      <c r="I17" s="48" t="inlineStr">
        <is>
          <t>Coincide en el 100 % con contar cuántas veces aparece el event_id como parent_event_id: es redundante.</t>
        </is>
      </c>
      <c r="J17" s="48" t="inlineStr">
        <is>
          <t>Es la cuenta de hijos de parent_event_id. Varianza sobre media, sin las cortadas: 4,8; con todas: 5,1. La media 0,92 da un proceso subcrítico: coincide con 1 − 1/tamaño medio.</t>
        </is>
      </c>
      <c r="K17" s="48" t="inlineStr">
        <is>
          <t>Chequeo. R y su dispersión salen de acá o de parent_event_id, que es lo mismo.</t>
        </is>
      </c>
      <c r="L17" s="48" t="inlineStr">
        <is>
          <t>D16</t>
        </is>
      </c>
      <c r="M17" s="49" t="inlineStr">
        <is>
          <t>2</t>
        </is>
      </c>
    </row>
    <row r="18" ht="58" customHeight="1">
      <c r="A18" s="47" t="inlineStr">
        <is>
          <t>impressions</t>
        </is>
      </c>
      <c r="B18" s="48" t="inlineStr">
        <is>
          <t>Veces que se mostró el evento: cuánta gente vio ese reenvío.</t>
        </is>
      </c>
      <c r="C18" s="48" t="inlineStr">
        <is>
          <t>decimal (en la práctica, entero)</t>
        </is>
      </c>
      <c r="D18" s="48" t="inlineStr">
        <is>
          <t>impresiones</t>
        </is>
      </c>
      <c r="E18" s="49" t="inlineStr">
        <is>
          <t>mín 1 · p10 18 · mediana 81 · media 5.454 · p90 5.446 · máx 2.323.023</t>
        </is>
      </c>
      <c r="F18" s="50" t="n">
        <v>625</v>
      </c>
      <c r="G18" s="51" t="n">
        <v>0.009466684842701564</v>
      </c>
      <c r="H18" s="48" t="inlineStr">
        <is>
          <t>625 faltantes: se dejan como faltantes, no se imputan. 51 eventos tienen más impresiones que seguidores; no se tocan.</t>
        </is>
      </c>
      <c r="I18" s="48" t="inlineStr">
        <is>
          <t>Dato. Impresiones / seguidores: mediana 0,15, p10 0,04, p90 0,38.</t>
        </is>
      </c>
      <c r="J18" s="48" t="inlineStr">
        <is>
          <t>Proporcional a actor_follower_count (0,15, parejo en los cinco tipos). Una regresión por el origen da 0,19, pero la arrastran las cuentas grandes, así que usamos la mediana.</t>
        </is>
      </c>
      <c r="K18" s="48" t="inlineStr">
        <is>
          <t>VR y economía: impresiones nocivas servidas e impresiones legítimas perdidas. La degradación baja el factor 0,15.</t>
        </is>
      </c>
      <c r="L18" s="48" t="inlineStr">
        <is>
          <t>D4 · D12</t>
        </is>
      </c>
      <c r="M18" s="49" t="inlineStr">
        <is>
          <t>139470</t>
        </is>
      </c>
    </row>
    <row r="19" ht="44.5" customHeight="1">
      <c r="A19" s="47" t="inlineStr">
        <is>
          <t>likes</t>
        </is>
      </c>
      <c r="B19" s="48" t="inlineStr">
        <is>
          <t>Cantidad de «me gusta» que recibió el evento.</t>
        </is>
      </c>
      <c r="C19" s="48" t="inlineStr">
        <is>
          <t>entero</t>
        </is>
      </c>
      <c r="D19" s="48" t="inlineStr">
        <is>
          <t>me gusta</t>
        </is>
      </c>
      <c r="E19" s="49" t="inlineStr">
        <is>
          <t>mín 0 · p10 0 · mediana 1 · media 65 · p90 45 · máx 38.029</t>
        </is>
      </c>
      <c r="F19" s="50" t="n">
        <v>0</v>
      </c>
      <c r="G19" s="51" t="n">
        <v>0</v>
      </c>
      <c r="H19" s="48" t="inlineStr">
        <is>
          <t>Sin faltantes. 49 eventos tienen más me gusta que impresiones; no se tocan porque la columna no se usa.</t>
        </is>
      </c>
      <c r="I19" s="48" t="inlineStr">
        <is>
          <t>Dato.</t>
        </is>
      </c>
      <c r="J19" s="48" t="inlineStr">
        <is>
          <t>Me gusta / impresiones: mediana 0,76 %.</t>
        </is>
      </c>
      <c r="K19" s="48" t="inlineStr">
        <is>
          <t>Sin uso: no entra al modelo.</t>
        </is>
      </c>
      <c r="L19" s="48" t="inlineStr">
        <is>
          <t>—</t>
        </is>
      </c>
      <c r="M19" s="49" t="inlineStr">
        <is>
          <t>3156</t>
        </is>
      </c>
    </row>
    <row r="20" ht="44.5" customHeight="1">
      <c r="A20" s="47" t="inlineStr">
        <is>
          <t>comments</t>
        </is>
      </c>
      <c r="B20" s="48" t="inlineStr">
        <is>
          <t>Cantidad de comentarios que recibió el evento.</t>
        </is>
      </c>
      <c r="C20" s="48" t="inlineStr">
        <is>
          <t>decimal (en la práctica, entero)</t>
        </is>
      </c>
      <c r="D20" s="48" t="inlineStr">
        <is>
          <t>comentarios</t>
        </is>
      </c>
      <c r="E20" s="49" t="inlineStr">
        <is>
          <t>mín 0 · p10 0 · mediana 0 · media 12 · p90 7 · máx 8.223</t>
        </is>
      </c>
      <c r="F20" s="50" t="n">
        <v>936</v>
      </c>
      <c r="G20" s="51" t="n">
        <v>0.01417730722042986</v>
      </c>
      <c r="H20" s="48" t="inlineStr">
        <is>
          <t>936 faltantes. No se imputan porque la columna no se usa.</t>
        </is>
      </c>
      <c r="I20" s="48" t="inlineStr">
        <is>
          <t>Dato.</t>
        </is>
      </c>
      <c r="J20" s="48" t="inlineStr">
        <is>
          <t>—</t>
        </is>
      </c>
      <c r="K20" s="48" t="inlineStr">
        <is>
          <t>Sin uso: no entra al modelo.</t>
        </is>
      </c>
      <c r="L20" s="48" t="inlineStr">
        <is>
          <t>—</t>
        </is>
      </c>
      <c r="M20" s="49" t="inlineStr">
        <is>
          <t>117</t>
        </is>
      </c>
    </row>
    <row r="21" ht="44.5" customHeight="1">
      <c r="A21" s="47" t="inlineStr">
        <is>
          <t>dwell_time_sec</t>
        </is>
      </c>
      <c r="B21" s="48" t="inlineStr">
        <is>
          <t>Tiempo que la gente se quedó mirando la pieza en ese evento, en segundos.</t>
        </is>
      </c>
      <c r="C21" s="48" t="inlineStr">
        <is>
          <t>decimal</t>
        </is>
      </c>
      <c r="D21" s="48" t="inlineStr">
        <is>
          <t>segundos</t>
        </is>
      </c>
      <c r="E21" s="49" t="inlineStr">
        <is>
          <t>mín 1,0 · p10 13,4 · mediana 55,0 · media 100,2 · p90 227,0 · máx 6.140,1. Sin los negativos</t>
        </is>
      </c>
      <c r="F21" s="50" t="n">
        <v>2005</v>
      </c>
      <c r="G21" s="51" t="n">
        <v>0.03036912497538662</v>
      </c>
      <c r="H21" s="48" t="inlineStr">
        <is>
          <t>2.005 faltantes y 66 negativos (entre −49,8 y −2,4 s), que se dejan fuera. Es la columna con más faltantes.</t>
        </is>
      </c>
      <c r="I21" s="48" t="inlineStr">
        <is>
          <t>Dato.</t>
        </is>
      </c>
      <c r="J21" s="48" t="inlineStr">
        <is>
          <t>—</t>
        </is>
      </c>
      <c r="K21" s="48" t="inlineStr">
        <is>
          <t>Sin uso: no entra al modelo.</t>
        </is>
      </c>
      <c r="L21" s="48" t="inlineStr">
        <is>
          <t>—</t>
        </is>
      </c>
      <c r="M21" s="49" t="inlineStr">
        <is>
          <t>24,8</t>
        </is>
      </c>
    </row>
    <row r="22" ht="58" customHeight="1">
      <c r="A22" s="47" t="inlineStr">
        <is>
          <t>inter_event_time_min</t>
        </is>
      </c>
      <c r="B22" s="48" t="inlineStr">
        <is>
          <t>Minutos entre el evento padre y este reenvío: cuánto tardó la pieza en saltar una generación. En la semilla vale 0.</t>
        </is>
      </c>
      <c r="C22" s="48" t="inlineStr">
        <is>
          <t>decimal</t>
        </is>
      </c>
      <c r="D22" s="48" t="inlineStr">
        <is>
          <t>minutos</t>
        </is>
      </c>
      <c r="E22" s="49" t="inlineStr">
        <is>
          <t>En reenvíos: mín −9,3 · p10 1,2 · mediana 42,7 · media 69,7 · p90 150,3 · máx 57.241,9</t>
        </is>
      </c>
      <c r="F22" s="50" t="n">
        <v>0</v>
      </c>
      <c r="G22" s="51" t="n">
        <v>0</v>
      </c>
      <c r="H22" s="48" t="inlineStr">
        <is>
          <t>39 valores negativos (entre −9,3 y −1,0 min), que se dejan fuera. Aparte, en 22 hijos la resta de fechas da negativa aunque la columna no; no se superponen con los 39.</t>
        </is>
      </c>
      <c r="I22" s="48" t="inlineStr">
        <is>
          <t>Coincide en el 99,8 % con restar forward_datetime del padre (tolerancia de 0,1 min). De los 98 que no coinciden, 59 tienen una fecha de 2099 en el hijo o en el padre.</t>
        </is>
      </c>
      <c r="J22" s="48" t="inlineStr">
        <is>
          <t>Diferencia de forward_datetime entre hijo y padre. Vale 0 en todas las semillas (seed_flag = 1).</t>
        </is>
      </c>
      <c r="K22" s="48" t="inlineStr">
        <is>
          <t>Tiempo entre generaciones: gamma de forma 0,55 y escala 128 min (media 70, mediana 43). No puede ser Erlang (hoja Ajuste D19).</t>
        </is>
      </c>
      <c r="L22" s="48" t="inlineStr">
        <is>
          <t>D19</t>
        </is>
      </c>
      <c r="M22" s="49" t="inlineStr">
        <is>
          <t>15,41</t>
        </is>
      </c>
    </row>
    <row r="23" ht="58" customHeight="1">
      <c r="A23" s="47" t="inlineStr">
        <is>
          <t>content_half_life_min</t>
        </is>
      </c>
      <c r="B23" s="48" t="inlineStr">
        <is>
          <t>Vida media de la pieza, en minutos. Es un atributo de la publicación, no del reenvío: hay un solo valor por cascada.</t>
        </is>
      </c>
      <c r="C23" s="48" t="inlineStr">
        <is>
          <t>decimal</t>
        </is>
      </c>
      <c r="D23" s="48" t="inlineStr">
        <is>
          <t>minutos</t>
        </is>
      </c>
      <c r="E23" s="49" t="inlineStr">
        <is>
          <t>Por cascada: mín 15,0 · p10 72,7 · mediana 219,4 · media 328,9 · p90 691,0 · máx 4.993,5</t>
        </is>
      </c>
      <c r="F23" s="50" t="n">
        <v>666</v>
      </c>
      <c r="G23" s="51" t="n">
        <v>0.01008769936838279</v>
      </c>
      <c r="H23" s="48" t="inlineStr">
        <is>
          <t>666 filas sin valor, repartidas en 466 cascadas. En 448 de ellas otras filas de la misma cascada sí lo tienen; sólo 18 cascadas no lo tienen en ninguna fila.</t>
        </is>
      </c>
      <c r="I23" s="48" t="inlineStr">
        <is>
          <t>Dato. Un solo valor por cascada: ninguna tiene dos valores distintos.</t>
        </is>
      </c>
      <c r="J23" s="48" t="inlineStr">
        <is>
          <t>No correlaciona con el tamaño de la cascada: Spearman 0,04. Los hijos por generación sí caen (cascade_depth).</t>
        </is>
      </c>
      <c r="K23" s="48" t="inlineStr">
        <is>
          <t>No correlaciona con el tamaño, así que el decaimiento va por generación y la vida media entra sólo en sensibilidad.</t>
        </is>
      </c>
      <c r="L23" s="48" t="inlineStr">
        <is>
          <t>D18</t>
        </is>
      </c>
      <c r="M23" s="49" t="inlineStr">
        <is>
          <t>250,1</t>
        </is>
      </c>
    </row>
    <row r="24" ht="58" customHeight="1">
      <c r="A24" s="47" t="inlineStr">
        <is>
          <t>content_type_code</t>
        </is>
      </c>
      <c r="B24" s="48" t="inlineStr">
        <is>
          <t>Formato de la pieza. Por el nombre de los códigos: imagen con texto (meme), video corto, texto, captura de pantalla, link externo y encuesta.</t>
        </is>
      </c>
      <c r="C24" s="48" t="inlineStr">
        <is>
          <t>categórica (6 valores)</t>
        </is>
      </c>
      <c r="D24" s="48" t="inlineStr">
        <is>
          <t>—</t>
        </is>
      </c>
      <c r="E24" s="49" t="inlineStr">
        <is>
          <t>Normalizado a mayúsculas: IMG-MACRO 39,3 % · VID-SHORT 34,6 % · TXT 9,9 % · SCREENSHOT 8,3 % · LINK-EXT 4,6 % · POLL 3,3 %</t>
        </is>
      </c>
      <c r="F24" s="50" t="n">
        <v>0</v>
      </c>
      <c r="G24" s="51" t="n">
        <v>0</v>
      </c>
      <c r="H24" s="48" t="inlineStr">
        <is>
          <t>4.644 celdas en minúscula (img-macro, vid-short…). Se pasan a mayúsculas; con eso queda un solo formato por cascada.</t>
        </is>
      </c>
      <c r="I24" s="48" t="inlineStr">
        <is>
          <t>Dato. Normalizado, tiene un solo valor por cascada.</t>
        </is>
      </c>
      <c r="J24" s="48" t="inlineStr">
        <is>
          <t>Hijos medios por formato, sin las cortadas: LINK-EXT 0,77 · TXT 0,83 · POLL 0,88 · SCREENSHOT 0,89 · IMG-MACRO 0,94 · VID-SHORT 0,95.</t>
        </is>
      </c>
      <c r="K24" s="48" t="inlineStr">
        <is>
          <t>Multiplicador chico de R: 0,77 a 0,95.</t>
        </is>
      </c>
      <c r="L24" s="48" t="inlineStr">
        <is>
          <t>—</t>
        </is>
      </c>
      <c r="M24" s="49" t="inlineStr">
        <is>
          <t>IMG-MACRO</t>
        </is>
      </c>
    </row>
    <row r="25" ht="112" customHeight="1">
      <c r="A25" s="47" t="inlineStr">
        <is>
          <t>topic_code</t>
        </is>
      </c>
      <c r="B25" s="48" t="inlineStr">
        <is>
          <t>Tema de la pieza. Los DISARM-* son técnicas de desinformación del marco de DISARM Foundation: T0003 Leverage Existing Narratives, T0023 Distort Facts, T0039 Bait Influencer, T0049 Flood Information Space y T0049.003 Bots Amplify via Automated Forwarding and Reposting. Los ORG-* son temas orgánicos: POL, HLTH, FIN, CELEB y LOCAL.</t>
        </is>
      </c>
      <c r="C25" s="48" t="inlineStr">
        <is>
          <t>categórica (10 valores)</t>
        </is>
      </c>
      <c r="D25" s="48" t="inlineStr">
        <is>
          <t>—</t>
        </is>
      </c>
      <c r="E25" s="49" t="inlineStr">
        <is>
          <t>ORG-POL 16,8 % · ORG-HLTH 13,7 % · ORG-FIN 10,7 % · ORG-CELEB 10,3 % · DISARM-T0003 9,3 % · ORG-LOCAL 8,9 % · DISARM-T0023 8,8 % · DISARM-T0049 8,2 % · DISARM-T0039 7,1 % · DISARM-T0049.003 6,3 %. DISARM en total: 40 % de los eventos</t>
        </is>
      </c>
      <c r="F25" s="50" t="n">
        <v>0</v>
      </c>
      <c r="G25" s="51" t="n">
        <v>0</v>
      </c>
      <c r="H25" s="48" t="inlineStr">
        <is>
          <t>Nada detectado.</t>
        </is>
      </c>
      <c r="I25" s="48" t="inlineStr">
        <is>
          <t>Los DISARM, por el repo oficial de DISARM Foundation (consultado el 15/9). Los ORG, por contraste. Hipótesis: DISARM = nocivo y ORG = legítimo. Un solo valor por cascada.</t>
        </is>
      </c>
      <c r="J25" s="48" t="inlineStr">
        <is>
          <t>Marcado por tema: DISARM entre 32 % y 36 %; ORG entre 14 % y 22 %. Con DISARM como nocivo, Centinela da precisión 0,57 y recall 0,34, contra 0,72 y 0,63 del CSV de parámetros.</t>
        </is>
      </c>
      <c r="K25" s="48" t="inlineStr">
        <is>
          <t>Candidato a «nocivo». Probabilidad de marca por tema y quintil de toxicidad. Temas sensibles (DISARM, POL, HLTH) para la remoción.</t>
        </is>
      </c>
      <c r="L25" s="48" t="inlineStr">
        <is>
          <t>D8 · D10</t>
        </is>
      </c>
      <c r="M25" s="49" t="inlineStr">
        <is>
          <t>DISARM-T0023</t>
        </is>
      </c>
    </row>
    <row r="26" ht="44.5" customHeight="1">
      <c r="A26" s="47" t="inlineStr">
        <is>
          <t>toxicity_index</t>
        </is>
      </c>
      <c r="B26" s="48" t="inlineStr">
        <is>
          <t>Puntaje de nocividad que Centinela le pone a cada evento, entre 0 y 1.</t>
        </is>
      </c>
      <c r="C26" s="48" t="inlineStr">
        <is>
          <t>decimal (0 a 1)</t>
        </is>
      </c>
      <c r="D26" s="48" t="inlineStr">
        <is>
          <t>puntaje</t>
        </is>
      </c>
      <c r="E26" s="49" t="inlineStr">
        <is>
          <t>mín 0,00 · p10 0,11 · mediana 0,34 · media 0,36 · p90 0,63 · máx 1,00</t>
        </is>
      </c>
      <c r="F26" s="50" t="n">
        <v>0</v>
      </c>
      <c r="G26" s="51" t="n">
        <v>0</v>
      </c>
      <c r="H26" s="48" t="inlineStr">
        <is>
          <t>Sin faltantes y siempre entre 0 y 1: nada detectado.</t>
        </is>
      </c>
      <c r="I26" s="48" t="inlineStr">
        <is>
          <t>Dato. Nunca falta, como dice el enunciado de Centinela. Cambia entre eventos de la misma cascada: es del evento, no de la pieza.</t>
        </is>
      </c>
      <c r="J26" s="48" t="inlineStr">
        <is>
          <t>Marcado por quintil de toxicidad: 12 % · 18 % · 23 % · 29 % · 36 %. Spearman con sentiment_score: −0,21.</t>
        </is>
      </c>
      <c r="K26" s="48" t="inlineStr">
        <is>
          <t>Probabilidad de marca y probabilidad de remoción (toxicidad × 1,5 en temas sensibles o × 1). Es el otro candidato a «nocivo».</t>
        </is>
      </c>
      <c r="L26" s="48" t="inlineStr">
        <is>
          <t>D8 · D10</t>
        </is>
      </c>
      <c r="M26" s="49" t="inlineStr">
        <is>
          <t>0,66</t>
        </is>
      </c>
    </row>
    <row r="27" ht="31" customHeight="1">
      <c r="A27" s="47" t="inlineStr">
        <is>
          <t>sentiment_score</t>
        </is>
      </c>
      <c r="B27" s="48" t="inlineStr">
        <is>
          <t>Sentimiento del contenido del evento, de −1 (negativo) a 1 (positivo).</t>
        </is>
      </c>
      <c r="C27" s="48" t="inlineStr">
        <is>
          <t>decimal (−1 a 1)</t>
        </is>
      </c>
      <c r="D27" s="48" t="inlineStr">
        <is>
          <t>puntaje</t>
        </is>
      </c>
      <c r="E27" s="49" t="inlineStr">
        <is>
          <t>mín −1,00 · p10 −0,76 · mediana −0,29 · media −0,29 · p90 0,18 · máx 1,00</t>
        </is>
      </c>
      <c r="F27" s="50" t="n">
        <v>1344</v>
      </c>
      <c r="G27" s="51" t="n">
        <v>0.02035715908574545</v>
      </c>
      <c r="H27" s="48" t="inlineStr">
        <is>
          <t>1.344 faltantes. No se imputan porque la columna no se usa.</t>
        </is>
      </c>
      <c r="I27" s="48" t="inlineStr">
        <is>
          <t>Dato.</t>
        </is>
      </c>
      <c r="J27" s="48" t="inlineStr">
        <is>
          <t>Relación débil y negativa con toxicity_index.</t>
        </is>
      </c>
      <c r="K27" s="48" t="inlineStr">
        <is>
          <t>Sin uso: no entra al modelo.</t>
        </is>
      </c>
      <c r="L27" s="48" t="inlineStr">
        <is>
          <t>—</t>
        </is>
      </c>
      <c r="M27" s="49" t="inlineStr">
        <is>
          <t>0,198</t>
        </is>
      </c>
    </row>
    <row r="28" ht="58" customHeight="1">
      <c r="A28" s="47" t="inlineStr">
        <is>
          <t>platform_surface_code</t>
        </is>
      </c>
      <c r="B28" s="48" t="inlineStr">
        <is>
          <t>Superficie de la plataforma donde ocurre el evento. Por el nombre de los códigos: el feed, un grupo, una historia, un mensaje directo o un repost.</t>
        </is>
      </c>
      <c r="C28" s="48" t="inlineStr">
        <is>
          <t>categórica (5 valores)</t>
        </is>
      </c>
      <c r="D28" s="48" t="inlineStr">
        <is>
          <t>—</t>
        </is>
      </c>
      <c r="E28" s="49" t="inlineStr">
        <is>
          <t>Normalizado a mayúsculas: FEED 42,0 % · GROUP 17,7 % · STORY 16,4 % · REPOST 13,9 % · DM 10,0 %</t>
        </is>
      </c>
      <c r="F28" s="50" t="n">
        <v>0</v>
      </c>
      <c r="G28" s="51" t="n">
        <v>0</v>
      </c>
      <c r="H28" s="48" t="inlineStr">
        <is>
          <t>4.629 celdas en minúscula. Se pasan a mayúsculas.</t>
        </is>
      </c>
      <c r="I28" s="48" t="inlineStr">
        <is>
          <t>Dato. Cambia entre eventos de la misma cascada.</t>
        </is>
      </c>
      <c r="J28" s="48" t="inlineStr">
        <is>
          <t>Hijos medios por superficie, sin las cortadas: DM 0,55 · STORY 0,76 · FEED 0,94 · REPOST 1,03 · GROUP 1,12.</t>
        </is>
      </c>
      <c r="K28" s="48" t="inlineStr">
        <is>
          <t>Multiplicador de R: 0,55 a 1,12. Pesa menos que el tipo de cuenta.</t>
        </is>
      </c>
      <c r="L28" s="48" t="inlineStr">
        <is>
          <t>—</t>
        </is>
      </c>
      <c r="M28" s="49" t="inlineStr">
        <is>
          <t>FEED</t>
        </is>
      </c>
    </row>
    <row r="29" ht="58" customHeight="1">
      <c r="A29" s="47" t="inlineStr">
        <is>
          <t>language_code</t>
        </is>
      </c>
      <c r="B29" s="48" t="inlineStr">
        <is>
          <t>Idioma del evento.</t>
        </is>
      </c>
      <c r="C29" s="48" t="inlineStr">
        <is>
          <t>categórica</t>
        </is>
      </c>
      <c r="D29" s="48" t="inlineStr">
        <is>
          <t>—</t>
        </is>
      </c>
      <c r="E29" s="49" t="inlineStr">
        <is>
          <t>Normalizado a minúsculas: es 46,2 % · pt 20,4 % · en 19,2 % · es-ar 9,5 % · fr 4,7 %</t>
        </is>
      </c>
      <c r="F29" s="50" t="n">
        <v>0</v>
      </c>
      <c r="G29" s="51" t="n">
        <v>0</v>
      </c>
      <c r="H29" s="48" t="inlineStr">
        <is>
          <t>4.551 celdas en mayúscula (ES, PT, EN, ES-AR, FR). Se pasan a minúsculas. es y es-ar quedan separados: como la columna no se usa, no hizo falta decidir si son el mismo idioma.</t>
        </is>
      </c>
      <c r="I29" s="48" t="inlineStr">
        <is>
          <t>Dato sucio (es · ES · es-AR).</t>
        </is>
      </c>
      <c r="J29" s="48" t="inlineStr">
        <is>
          <t>Cambia entre eventos de la misma cascada.</t>
        </is>
      </c>
      <c r="K29" s="48" t="inlineStr">
        <is>
          <t>Sin uso: no entra al modelo.</t>
        </is>
      </c>
      <c r="L29" s="48" t="inlineStr">
        <is>
          <t>—</t>
        </is>
      </c>
      <c r="M29" s="49" t="inlineStr">
        <is>
          <t>pt</t>
        </is>
      </c>
    </row>
    <row r="30" ht="58" customHeight="1">
      <c r="A30" s="47" t="inlineStr">
        <is>
          <t>hashtag_cluster_ref</t>
        </is>
      </c>
      <c r="B30" s="48" t="inlineStr">
        <is>
          <t>Identificador de campaña, uno por cascada. Tiene la forma HC-número-sufijo (por ejemplo HC-5338-B).</t>
        </is>
      </c>
      <c r="C30" s="48" t="inlineStr">
        <is>
          <t>texto (identificador)</t>
        </is>
      </c>
      <c r="D30" s="48" t="inlineStr">
        <is>
          <t>—</t>
        </is>
      </c>
      <c r="E30" s="49" t="inlineStr">
        <is>
          <t>4.845 valores distintos. Cascadas por sufijo: A 579 · B 534 · C2 514 · D 594 · E 550 · F 543 · G 578 · H 571 · K 537</t>
        </is>
      </c>
      <c r="F30" s="50" t="n">
        <v>0</v>
      </c>
      <c r="G30" s="51" t="n">
        <v>0</v>
      </c>
      <c r="H30" s="48" t="inlineStr">
        <is>
          <t>Nada detectado. Hay un valor por cascada, pero 149 valores aparecen en más de una cascada.</t>
        </is>
      </c>
      <c r="I30" s="48" t="inlineStr">
        <is>
          <t>Hipótesis: el sufijo C2 marca coordinación. Es el único sufijo de dos caracteres y tiene las 14 cascadas cortadas en 500.</t>
        </is>
      </c>
      <c r="J30" s="48" t="inlineStr">
        <is>
          <t>Cascadas C2: 42,8 eventos de media contra 9,8 del resto, y 13 % de cuentas nuevas contra 6 %.</t>
        </is>
      </c>
      <c r="K30" s="48" t="inlineStr">
        <is>
          <t>Qué es coordinada: C2 es la referencia contra la que se mide la regla de detección (C2 + cuenta nueva, con error). También define las 14 cascadas cortadas.</t>
        </is>
      </c>
      <c r="L30" s="48" t="inlineStr">
        <is>
          <t>D11 · D14</t>
        </is>
      </c>
      <c r="M30" s="49" t="inlineStr">
        <is>
          <t>HC-5338-B</t>
        </is>
      </c>
    </row>
    <row r="31" ht="31" customHeight="1">
      <c r="A31" s="47" t="inlineStr">
        <is>
          <t>device_fingerprint_code</t>
        </is>
      </c>
      <c r="B31" s="48" t="inlineStr">
        <is>
          <t>Rasgo del dispositivo desde el que actúa la cuenta.</t>
        </is>
      </c>
      <c r="C31" s="48" t="inlineStr">
        <is>
          <t>texto (identificador)</t>
        </is>
      </c>
      <c r="D31" s="48" t="inlineStr">
        <is>
          <t>—</t>
        </is>
      </c>
      <c r="E31" s="49" t="inlineStr">
        <is>
          <t>3.989 valores distintos, casi uno por cuenta (4.000)</t>
        </is>
      </c>
      <c r="F31" s="50" t="n">
        <v>1324</v>
      </c>
      <c r="G31" s="51" t="n">
        <v>0.02005422517077899</v>
      </c>
      <c r="H31" s="48" t="inlineStr">
        <is>
          <t>1.324 faltantes. No se imputan porque la columna no se usa.</t>
        </is>
      </c>
      <c r="I31" s="48" t="inlineStr">
        <is>
          <t>Dato. Cada cuenta tiene una sola huella; 11 huellas aparecen en más de una cuenta.</t>
        </is>
      </c>
      <c r="J31" s="48" t="inlineStr">
        <is>
          <t>El 99,9 % de las huellas aparece en más de tres cascadas, dentro y fuera de C2.</t>
        </is>
      </c>
      <c r="K31" s="48" t="inlineStr">
        <is>
          <t>No separa: sola no sirve para detectar coordinación, así que no entra al modelo.</t>
        </is>
      </c>
      <c r="L31" s="48" t="inlineStr">
        <is>
          <t>D11</t>
        </is>
      </c>
      <c r="M31" s="49" t="inlineStr">
        <is>
          <t>DFP-F6FED</t>
        </is>
      </c>
    </row>
    <row r="32" ht="58" customHeight="1">
      <c r="A32" s="47" t="inlineStr">
        <is>
          <t>moderation_flag</t>
        </is>
      </c>
      <c r="B32" s="48" t="inlineStr">
        <is>
          <t>Vale 1 si Centinela marcó el evento y lo mandó a revisión.</t>
        </is>
      </c>
      <c r="C32" s="48" t="inlineStr">
        <is>
          <t>binaria (0/1)</t>
        </is>
      </c>
      <c r="D32" s="48" t="inlineStr">
        <is>
          <t>—</t>
        </is>
      </c>
      <c r="E32" s="49" t="inlineStr">
        <is>
          <t>1: 15.445 (23,4 %) · 0: 50.576 (76,6 %)</t>
        </is>
      </c>
      <c r="F32" s="50" t="n">
        <v>0</v>
      </c>
      <c r="G32" s="51" t="n">
        <v>0</v>
      </c>
      <c r="H32" s="48" t="inlineStr">
        <is>
          <t>Nada detectado.</t>
        </is>
      </c>
      <c r="I32" s="48" t="inlineStr">
        <is>
          <t>Dato. moderation_latency_min es mayor que 0 sólo en eventos marcados (100 %). Cambia entre eventos de la misma cascada.</t>
        </is>
      </c>
      <c r="J32" s="48" t="inlineStr">
        <is>
          <t>Sube con toxicity_index (12 % a 36 % por quintil) y con el tema (DISARM el doble que ORG). El 11 % de los hijos de un evento marcado nace después de la acción: no todo lo marcado se remueve.</t>
        </is>
      </c>
      <c r="K32" s="48" t="inlineStr">
        <is>
          <t>Tasa a reproducir: probabilidad de marca por tema y quintil de toxicidad (hoja Marca). Los ítems marcados son los que entran a la cola.</t>
        </is>
      </c>
      <c r="L32" s="48" t="inlineStr">
        <is>
          <t>D8 · D10</t>
        </is>
      </c>
      <c r="M32" s="49" t="inlineStr">
        <is>
          <t>0</t>
        </is>
      </c>
    </row>
    <row r="33" ht="58" customHeight="1">
      <c r="A33" s="47" t="inlineStr">
        <is>
          <t>moderation_latency_min</t>
        </is>
      </c>
      <c r="B33" s="48" t="inlineStr">
        <is>
          <t>Minutos desde el evento hasta la acción de moderación. Sólo tiene sentido en eventos marcados: en el resto vale 0.</t>
        </is>
      </c>
      <c r="C33" s="48" t="inlineStr">
        <is>
          <t>decimal</t>
        </is>
      </c>
      <c r="D33" s="48" t="inlineStr">
        <is>
          <t>minutos</t>
        </is>
      </c>
      <c r="E33" s="49" t="inlineStr">
        <is>
          <t>En eventos marcados: mín 90,0 · p10 96,3 · mediana 140,3 · media 238,2 · p90 379,4 · máx 26.328,5. Sin las de más de 24 h: mediana 139 y p90 353</t>
        </is>
      </c>
      <c r="F33" s="50" t="n">
        <v>0</v>
      </c>
      <c r="G33" s="51" t="n">
        <v>0</v>
      </c>
      <c r="H33" s="48" t="inlineStr">
        <is>
          <t>196 latencias de más de 24 h (hasta 26.328 min), que se dejan fuera. El 0 de los no marcados significa «no aplica», no «actuó al instante».</t>
        </is>
      </c>
      <c r="I33" s="48" t="inlineStr">
        <is>
          <t>Dato. Nunca es menor que 90 min: hay un piso fijo.</t>
        </is>
      </c>
      <c r="J33" s="48" t="inlineStr">
        <is>
          <t>Sólo existe si moderation_flag = 1. Contra la carga del momento casi no correlaciona (Spearman 0,022, el dato de D2).</t>
        </is>
      </c>
      <c r="K33" s="48" t="inlineStr">
        <is>
          <t>Salida, no entrada: objetivo de validación. El piso de 90 min es la demora fija, y la espera por encima (mediana 49 min) calibra la escala.</t>
        </is>
      </c>
      <c r="L33" s="48" t="inlineStr">
        <is>
          <t>D2 · D7</t>
        </is>
      </c>
      <c r="M33" s="49" t="inlineStr">
        <is>
          <t>329,6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
  <sheetViews>
    <sheetView showGridLines="0" workbookViewId="0">
      <pane ySplit="3" topLeftCell="A4" activePane="bottomLeft" state="frozen"/>
      <selection pane="bottomLeft" activeCell="A1" sqref="A1"/>
    </sheetView>
  </sheetViews>
  <sheetFormatPr baseColWidth="8" defaultRowHeight="15"/>
  <cols>
    <col width="60" customWidth="1" min="1" max="1"/>
    <col width="14" customWidth="1" min="2" max="2"/>
    <col width="50" customWidth="1" min="3" max="3"/>
  </cols>
  <sheetData>
    <row r="1">
      <c r="A1" s="1" t="inlineStr">
        <is>
          <t>Lo sucio de la muestra</t>
        </is>
      </c>
    </row>
    <row r="2">
      <c r="A2" s="4" t="inlineStr">
        <is>
          <t>Qué hacer con cada problema es parte del modelo de datos. Conteos sin los duplicados, corregidos el 29/9/2026.</t>
        </is>
      </c>
    </row>
    <row r="3">
      <c r="A3" s="5" t="inlineStr">
        <is>
          <t>Problema</t>
        </is>
      </c>
      <c r="B3" s="5" t="inlineStr">
        <is>
          <t>Cuántos</t>
        </is>
      </c>
      <c r="C3" s="5" t="inlineStr">
        <is>
          <t>Qué se hace</t>
        </is>
      </c>
    </row>
    <row r="4">
      <c r="A4" s="7" t="inlineStr">
        <is>
          <t>Filas duplicadas</t>
        </is>
      </c>
      <c r="B4" s="16" t="n">
        <v>132</v>
      </c>
      <c r="C4" s="7" t="inlineStr">
        <is>
          <t>se sacan</t>
        </is>
      </c>
    </row>
    <row r="5">
      <c r="A5" s="7" t="inlineStr">
        <is>
          <t>Cascadas cortadas en exactamente 500 eventos (todas C2)</t>
        </is>
      </c>
      <c r="B5" s="16" t="n">
        <v>14</v>
      </c>
      <c r="C5" s="7" t="inlineStr">
        <is>
          <t>D14</t>
        </is>
      </c>
    </row>
    <row r="6">
      <c r="A6" s="7" t="inlineStr">
        <is>
          <t>Mayúsculas mezcladas en formato, superficie e idioma</t>
        </is>
      </c>
      <c r="B6" s="16" t="n">
        <v>13824</v>
      </c>
      <c r="C6" s="7" t="inlineStr">
        <is>
          <t>se normalizan</t>
        </is>
      </c>
    </row>
    <row r="7">
      <c r="A7" s="7" t="inlineStr">
        <is>
          <t>Faltantes en dwell_time_sec</t>
        </is>
      </c>
      <c r="B7" s="16" t="n">
        <v>2005</v>
      </c>
      <c r="C7" s="36" t="inlineStr">
        <is>
          <t>no se imputan: la columna no se usa</t>
        </is>
      </c>
    </row>
    <row r="8">
      <c r="A8" s="7" t="inlineStr">
        <is>
          <t>Faltantes en sentiment_score</t>
        </is>
      </c>
      <c r="B8" s="16" t="n">
        <v>1344</v>
      </c>
      <c r="C8" s="36" t="inlineStr">
        <is>
          <t>no se imputan: la columna no se usa</t>
        </is>
      </c>
    </row>
    <row r="9">
      <c r="A9" s="7" t="inlineStr">
        <is>
          <t>Faltantes en device_fingerprint_code</t>
        </is>
      </c>
      <c r="B9" s="16" t="n">
        <v>1324</v>
      </c>
      <c r="C9" s="36" t="inlineStr">
        <is>
          <t>no se imputan: la columna no se usa</t>
        </is>
      </c>
    </row>
    <row r="10">
      <c r="A10" s="7" t="inlineStr">
        <is>
          <t>Faltantes en comments</t>
        </is>
      </c>
      <c r="B10" s="16" t="n">
        <v>936</v>
      </c>
      <c r="C10" s="36" t="inlineStr">
        <is>
          <t>no se imputan: la columna no se usa</t>
        </is>
      </c>
    </row>
    <row r="11">
      <c r="A11" s="7" t="inlineStr">
        <is>
          <t>Faltantes en content_half_life_min</t>
        </is>
      </c>
      <c r="B11" s="16" t="n">
        <v>666</v>
      </c>
      <c r="C11" s="36" t="inlineStr">
        <is>
          <t>no se imputa: el decaimiento va por generación (D18)</t>
        </is>
      </c>
    </row>
    <row r="12">
      <c r="A12" s="7" t="inlineStr">
        <is>
          <t>Faltantes en impressions</t>
        </is>
      </c>
      <c r="B12" s="16" t="n">
        <v>625</v>
      </c>
      <c r="C12" s="36" t="inlineStr">
        <is>
          <t>se toman como faltantes</t>
        </is>
      </c>
    </row>
    <row r="13">
      <c r="A13" s="7" t="inlineStr">
        <is>
          <t>Fechas en 2099</t>
        </is>
      </c>
      <c r="B13" s="16" t="n">
        <v>39</v>
      </c>
      <c r="C13" s="36" t="inlineStr">
        <is>
          <t>se sacan</t>
        </is>
      </c>
    </row>
    <row r="14">
      <c r="A14" s="7" t="inlineStr">
        <is>
          <t>inter_event_time_min negativo (las fechas de padre e hijo sí están en orden)</t>
        </is>
      </c>
      <c r="B14" s="16" t="n">
        <v>39</v>
      </c>
      <c r="C14" s="36" t="inlineStr">
        <is>
          <t>se sacan del ajuste de D19</t>
        </is>
      </c>
    </row>
    <row r="15">
      <c r="A15" s="7" t="inlineStr">
        <is>
          <t>Eventos con antigüedad de cuenta mayor que la plataforma (opera desde 2013), de 36 cuentas</t>
        </is>
      </c>
      <c r="B15" s="16" t="n">
        <v>514</v>
      </c>
      <c r="C15" s="36" t="inlineStr">
        <is>
          <t>sin efecto en ninguna estimación</t>
        </is>
      </c>
    </row>
    <row r="16">
      <c r="A16" s="7" t="inlineStr">
        <is>
          <t>Latencia de moderación mayor a 24 h</t>
        </is>
      </c>
      <c r="B16" s="16" t="n">
        <v>196</v>
      </c>
      <c r="C16" s="36" t="inlineStr">
        <is>
          <t>se sacan</t>
        </is>
      </c>
    </row>
    <row r="17">
      <c r="A17" s="7" t="inlineStr">
        <is>
          <t>dwell_time_sec negativo</t>
        </is>
      </c>
      <c r="B17" s="16" t="n">
        <v>66</v>
      </c>
      <c r="C17" s="36" t="inlineStr">
        <is>
          <t>se sacan</t>
        </is>
      </c>
    </row>
    <row r="18">
      <c r="A18" s="7" t="inlineStr">
        <is>
          <t>Cuentas con 0 seguidores</t>
        </is>
      </c>
      <c r="B18" s="16" t="n">
        <v>52</v>
      </c>
      <c r="C18" s="36" t="inlineStr"/>
    </row>
    <row r="19">
      <c r="A19" s="7" t="inlineStr">
        <is>
          <t>Cuentas con más de un valor de seguidores (de 4.000)</t>
        </is>
      </c>
      <c r="B19" s="16" t="n">
        <v>3627</v>
      </c>
      <c r="C19" s="7" t="inlineStr">
        <is>
          <t>los seguidores se toman al momento del evento</t>
        </is>
      </c>
    </row>
    <row r="20">
      <c r="A20" s="7" t="inlineStr">
        <is>
          <t>Hijos con fecha anterior a la del padre: son los hijos de los eventos de 2099</t>
        </is>
      </c>
      <c r="B20" s="16" t="n">
        <v>22</v>
      </c>
      <c r="C20" s="7" t="inlineStr">
        <is>
          <t>se arreglan al sacar las fechas de 2099; no es un problema aparte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3"/>
  <sheetViews>
    <sheetView showGridLines="0" workbookViewId="0">
      <pane ySplit="3" topLeftCell="A4" activePane="bottomLeft" state="frozen"/>
      <selection pane="bottomLeft" activeCell="A1" sqref="A1"/>
    </sheetView>
  </sheetViews>
  <sheetFormatPr baseColWidth="8" defaultRowHeight="15"/>
  <cols>
    <col width="6" customWidth="1" min="1" max="1"/>
    <col width="34" customWidth="1" min="2" max="2"/>
    <col width="64" customWidth="1" min="3" max="3"/>
    <col width="34" customWidth="1" min="4" max="4"/>
    <col width="40" customWidth="1" min="5" max="5"/>
    <col width="26" customWidth="1" min="6" max="6"/>
  </cols>
  <sheetData>
    <row r="1">
      <c r="A1" s="1" t="inlineStr">
        <is>
          <t>Decisiones D1 a D20</t>
        </is>
      </c>
    </row>
    <row r="2">
      <c r="A2" s="4" t="inlineStr">
        <is>
          <t>Misma numeración que el README y el artifact. La columna amarilla es para lo que elija el grupo.</t>
        </is>
      </c>
    </row>
    <row r="3">
      <c r="A3" s="5" t="inlineStr">
        <is>
          <t>D</t>
        </is>
      </c>
      <c r="B3" s="5" t="inlineStr">
        <is>
          <t>Decisión</t>
        </is>
      </c>
      <c r="C3" s="5" t="inlineStr">
        <is>
          <t>Opciones</t>
        </is>
      </c>
      <c r="D3" s="5" t="inlineStr">
        <is>
          <t>Propuesta</t>
        </is>
      </c>
      <c r="E3" s="5" t="inlineStr">
        <is>
          <t>Dato clave</t>
        </is>
      </c>
      <c r="F3" s="5" t="inlineStr">
        <is>
          <t>Elige el grupo</t>
        </is>
      </c>
    </row>
    <row r="4">
      <c r="A4" s="6" t="inlineStr">
        <is>
          <t>D1</t>
        </is>
      </c>
      <c r="B4" s="6" t="inlineStr">
        <is>
          <t>¿Qué es la entidad?</t>
        </is>
      </c>
      <c r="C4" s="7" t="inlineStr">
        <is>
          <t>la publicación · un lote por generación · el reenvío</t>
        </is>
      </c>
      <c r="D4" s="7" t="inlineStr">
        <is>
          <t>la publicación (DECIDIDA 22/9; el nombre, 25/9)</t>
        </is>
      </c>
      <c r="E4" s="7" t="inlineStr">
        <is>
          <t>139 min hasta la acción contra 43 entre generaciones</t>
        </is>
      </c>
      <c r="F4" s="36" t="inlineStr">
        <is>
          <t>la publicación</t>
        </is>
      </c>
    </row>
    <row r="5">
      <c r="A5" s="6" t="inlineStr">
        <is>
          <t>D2</t>
        </is>
      </c>
      <c r="B5" s="6" t="inlineStr">
        <is>
          <t>¿Qué recursos tienen capacidad?</t>
        </is>
      </c>
      <c r="C5" s="7" t="inlineStr">
        <is>
          <t>sólo moderadores · moderadores y Centinela con cola</t>
        </is>
      </c>
      <c r="D5" s="7" t="inlineStr">
        <is>
          <t>sólo moderadores</t>
        </is>
      </c>
      <c r="E5" s="7" t="inlineStr">
        <is>
          <t>latencia contra carga: Spearman 0,022; piso de 90 min</t>
        </is>
      </c>
      <c r="F5" s="36" t="n"/>
    </row>
    <row r="6">
      <c r="A6" s="6" t="inlineStr">
        <is>
          <t>D3</t>
        </is>
      </c>
      <c r="B6" s="6" t="inlineStr">
        <is>
          <t>Variables de decisión (mínimo 2)</t>
        </is>
      </c>
      <c r="C6" s="7" t="inlineStr">
        <is>
          <t>moderadores c · límite de reenvíos · degradación · agresividad del clasificador</t>
        </is>
      </c>
      <c r="D6" s="7" t="inlineStr">
        <is>
          <t>las tres del memo</t>
        </is>
      </c>
      <c r="E6" s="7" t="inlineStr">
        <is>
          <t>rangos en 'Parámetros CSV'</t>
        </is>
      </c>
      <c r="F6" s="36" t="n"/>
    </row>
    <row r="7">
      <c r="A7" s="6" t="inlineStr">
        <is>
          <t>D4</t>
        </is>
      </c>
      <c r="B7" s="6" t="inlineStr">
        <is>
          <t>Variables de referencia (mínimo 2, contrapuestas)</t>
        </is>
      </c>
      <c r="C7" s="7" t="inlineStr">
        <is>
          <t>nocivas servidas · buenas bajadas · legítimas perdidas por fricción · ítems revisados × 0,12 · tiempo hasta la acción · alcance contra tamaño nocivo</t>
        </is>
      </c>
      <c r="D7" s="7" t="inlineStr">
        <is>
          <t>nocivas servidas + buenas bajadas (+ legítimas perdidas)</t>
        </is>
      </c>
      <c r="E7" s="7" t="inlineStr">
        <is>
          <t>43 % de la cola es legítima; tipo de cambio en 'A priori'</t>
        </is>
      </c>
      <c r="F7" s="36" t="n"/>
    </row>
    <row r="8">
      <c r="A8" s="6" t="inlineStr">
        <is>
          <t>D5</t>
        </is>
      </c>
      <c r="B8" s="6" t="inlineStr">
        <is>
          <t>Variables de estado (mínimo 2)</t>
        </is>
      </c>
      <c r="C8" s="7" t="inlineStr">
        <is>
          <t>ocupación (obligatoria) · largo de la cola · publicaciones vivas e ítems en revisión · R efectivo</t>
        </is>
      </c>
      <c r="D8" s="7" t="inlineStr">
        <is>
          <t>ocupación + cola + publicaciones vivas</t>
        </is>
      </c>
      <c r="E8" s="7" t="inlineStr">
        <is>
          <t>ocupación a escala de la muestra en 'A priori'</t>
        </is>
      </c>
      <c r="F8" s="36" t="n"/>
    </row>
    <row r="9">
      <c r="A9" s="6" t="inlineStr">
        <is>
          <t>D6</t>
        </is>
      </c>
      <c r="B9" s="6" t="inlineStr">
        <is>
          <t>¿Qué horizonte se simula?</t>
        </is>
      </c>
      <c r="C9" s="7" t="inlineStr">
        <is>
          <t>un mes + peor episodio · un solo episodio</t>
        </is>
      </c>
      <c r="D9" s="7" t="inlineStr">
        <is>
          <t>un mes + peor episodio</t>
        </is>
      </c>
      <c r="E9" s="7" t="inlineStr">
        <is>
          <t>pregunta al tutor</t>
        </is>
      </c>
      <c r="F9" s="36" t="n"/>
    </row>
    <row r="10">
      <c r="A10" s="6" t="inlineStr">
        <is>
          <t>D7</t>
        </is>
      </c>
      <c r="B10" s="6" t="inlineStr">
        <is>
          <t>¿Cuál es la escala?</t>
        </is>
      </c>
      <c r="C10" s="7" t="inlineStr">
        <is>
          <t>calibrar a 139 min · la muestra tal cual · proporción de 7,8 M</t>
        </is>
      </c>
      <c r="D10" s="7" t="inlineStr">
        <is>
          <t>calibrar a 139 min</t>
        </is>
      </c>
      <c r="E10" s="7" t="inlineStr">
        <is>
          <t>BLOQUEA: ocupación de 2 %</t>
        </is>
      </c>
      <c r="F10" s="36" t="n"/>
    </row>
    <row r="11">
      <c r="A11" s="6" t="inlineStr">
        <is>
          <t>D8</t>
        </is>
      </c>
      <c r="B11" s="6" t="inlineStr">
        <is>
          <t>¿Qué cuenta como nocivo?</t>
        </is>
      </c>
      <c r="C11" s="7" t="inlineStr">
        <is>
          <t>DISARM · umbral de toxicidad · los dos</t>
        </is>
      </c>
      <c r="D11" s="7" t="inlineStr">
        <is>
          <t>DISARM</t>
        </is>
      </c>
      <c r="E11" s="7" t="inlineStr">
        <is>
          <t>BLOQUEA: con DISARM, precisión 0,57 y recall 0,34 contra 0,72 y 0,63 del CSV</t>
        </is>
      </c>
      <c r="F11" s="36" t="n"/>
    </row>
    <row r="12">
      <c r="A12" s="6" t="inlineStr">
        <is>
          <t>D9</t>
        </is>
      </c>
      <c r="B12" s="6" t="inlineStr">
        <is>
          <t>¿Hay prioridad en la cola?</t>
        </is>
      </c>
      <c r="C12" s="7" t="inlineStr">
        <is>
          <t>FIFO + prioridad como escenario · sólo FIFO</t>
        </is>
      </c>
      <c r="D12" s="7" t="inlineStr">
        <is>
          <t>FIFO + escenario</t>
        </is>
      </c>
      <c r="E12" s="7" t="inlineStr">
        <is>
          <t>la espera no baja para lo más tóxico</t>
        </is>
      </c>
      <c r="F12" s="36" t="n"/>
    </row>
    <row r="13">
      <c r="A13" s="6" t="inlineStr">
        <is>
          <t>D10</t>
        </is>
      </c>
      <c r="B13" s="6" t="inlineStr">
        <is>
          <t>¿Cómo se aplica la remoción?</t>
        </is>
      </c>
      <c r="C13" s="7" t="inlineStr">
        <is>
          <t>fraccional · todo o nada · fraccional ponderado</t>
        </is>
      </c>
      <c r="D13" s="7" t="inlineStr">
        <is>
          <t>fraccional</t>
        </is>
      </c>
      <c r="E13" s="7" t="inlineStr">
        <is>
          <t>11 % de hijos de un marcado nacen después de la acción</t>
        </is>
      </c>
      <c r="F13" s="36" t="n"/>
    </row>
    <row r="14">
      <c r="A14" s="6" t="inlineStr">
        <is>
          <t>D11</t>
        </is>
      </c>
      <c r="B14" s="6" t="inlineStr">
        <is>
          <t>¿Qué cuenta como coordinada?</t>
        </is>
      </c>
      <c r="C14" s="7" t="inlineStr">
        <is>
          <t>C2 + cuenta nueva · sólo C2 · por audiencia</t>
        </is>
      </c>
      <c r="D14" s="7" t="inlineStr">
        <is>
          <t>C2 + cuenta nueva</t>
        </is>
      </c>
      <c r="E14" s="7" t="inlineStr">
        <is>
          <t>C2: 42,8 eventos contra ~10; 13 % de cuentas nuevas contra 6 %</t>
        </is>
      </c>
      <c r="F14" s="36" t="n"/>
    </row>
    <row r="15">
      <c r="A15" s="6" t="inlineStr">
        <is>
          <t>D12</t>
        </is>
      </c>
      <c r="B15" s="6" t="inlineStr">
        <is>
          <t>¿Qué baja la degradación?</t>
        </is>
      </c>
      <c r="C15" s="7" t="inlineStr">
        <is>
          <t>factor de impresiones · R de las detectadas · los dos</t>
        </is>
      </c>
      <c r="D15" s="7" t="inlineStr">
        <is>
          <t>sin propuesta</t>
        </is>
      </c>
      <c r="E15" s="7" t="inlineStr"/>
      <c r="F15" s="36" t="n"/>
    </row>
    <row r="16">
      <c r="A16" s="6" t="inlineStr">
        <is>
          <t>D13</t>
        </is>
      </c>
      <c r="B16" s="6" t="inlineStr">
        <is>
          <t>¿Sobre qué actúa el límite de reenvíos?</t>
        </is>
      </c>
      <c r="C16" s="7" t="inlineStr">
        <is>
          <t>por pieza · por generación · por cuenta</t>
        </is>
      </c>
      <c r="D16" s="7" t="inlineStr">
        <is>
          <t>por pieza</t>
        </is>
      </c>
      <c r="E16" s="7" t="inlineStr">
        <is>
          <t>umbral 1–20, reducción 0–0,9</t>
        </is>
      </c>
      <c r="F16" s="36" t="n"/>
    </row>
    <row r="17">
      <c r="A17" s="6" t="inlineStr">
        <is>
          <t>D14</t>
        </is>
      </c>
      <c r="B17" s="6" t="inlineStr">
        <is>
          <t>¿Qué se hace con las cascadas de 500?</t>
        </is>
      </c>
      <c r="C17" s="7" t="inlineStr">
        <is>
          <t>sacarlas y cortar la simulación en 500 · dejarlas</t>
        </is>
      </c>
      <c r="D17" s="7" t="inlineStr">
        <is>
          <t>sacarlas y cortar en 500</t>
        </is>
      </c>
      <c r="E17" s="7" t="inlineStr">
        <is>
          <t>14 cascadas, todas C2</t>
        </is>
      </c>
      <c r="F17" s="36" t="n"/>
    </row>
    <row r="18">
      <c r="A18" s="6" t="inlineStr">
        <is>
          <t>D15</t>
        </is>
      </c>
      <c r="B18" s="6" t="inlineStr">
        <is>
          <t>¿Cada cuánto ocurre publicar?</t>
        </is>
      </c>
      <c r="C18" s="7" t="inlineStr">
        <is>
          <t>exponencial con tasa por hora · tasa constante</t>
        </is>
      </c>
      <c r="D18" s="7" t="inlineStr">
        <is>
          <t>tasa por hora</t>
        </is>
      </c>
      <c r="E18" s="7" t="inlineStr">
        <is>
          <t>hoja 'Llegadas'</t>
        </is>
      </c>
      <c r="F18" s="36" t="n"/>
    </row>
    <row r="19">
      <c r="A19" s="6" t="inlineStr">
        <is>
          <t>D16</t>
        </is>
      </c>
      <c r="B19" s="6" t="inlineStr">
        <is>
          <t>¿Cómo se sortean los hijos?</t>
        </is>
      </c>
      <c r="C19" s="7" t="inlineStr">
        <is>
          <t>Poisson(Λ) por generación · binomial negativa</t>
        </is>
      </c>
      <c r="D19" s="7" t="inlineStr">
        <is>
          <t>Poisson, y medir</t>
        </is>
      </c>
      <c r="E19" s="7" t="inlineStr">
        <is>
          <t>varianza / media 5,1; p99 188</t>
        </is>
      </c>
      <c r="F19" s="36" t="n"/>
    </row>
    <row r="20">
      <c r="A20" s="6" t="inlineStr">
        <is>
          <t>D17</t>
        </is>
      </c>
      <c r="B20" s="6" t="inlineStr">
        <is>
          <t>¿De qué tipos es el frente hijo?</t>
        </is>
      </c>
      <c r="C20" s="7" t="inlineStr">
        <is>
          <t>multinomial fija · condicionada al tipo del padre</t>
        </is>
      </c>
      <c r="D20" s="7" t="inlineStr">
        <is>
          <t>fija, y medir contra p99</t>
        </is>
      </c>
      <c r="E20" s="7" t="inlineStr">
        <is>
          <t>hoja 'Tipos de cuenta'</t>
        </is>
      </c>
      <c r="F20" s="36" t="n"/>
    </row>
    <row r="21">
      <c r="A21" s="6" t="inlineStr">
        <is>
          <t>D18</t>
        </is>
      </c>
      <c r="B21" s="6" t="inlineStr">
        <is>
          <t>¿Decae por generación o por tiempo?</t>
        </is>
      </c>
      <c r="C21" s="7" t="inlineStr">
        <is>
          <t>por generación · por tiempo con vida media</t>
        </is>
      </c>
      <c r="D21" s="7" t="inlineStr">
        <is>
          <t>por generación</t>
        </is>
      </c>
      <c r="E21" s="7" t="inlineStr">
        <is>
          <t>hoja 'Generaciones'; vida media contra tamaño 0,04</t>
        </is>
      </c>
      <c r="F21" s="36" t="n"/>
    </row>
    <row r="22">
      <c r="A22" s="6" t="inlineStr">
        <is>
          <t>D19</t>
        </is>
      </c>
      <c r="B22" s="6" t="inlineStr">
        <is>
          <t>¿Tiempo entre generaciones?</t>
        </is>
      </c>
      <c r="C22" s="7" t="inlineStr">
        <is>
          <t>gamma · exponencial · empírica</t>
        </is>
      </c>
      <c r="D22" s="7" t="inlineStr">
        <is>
          <t>sin propuesta</t>
        </is>
      </c>
      <c r="E22" s="7" t="inlineStr">
        <is>
          <t>hoja 'Ajuste D19': no puede ser Erlang</t>
        </is>
      </c>
      <c r="F22" s="36" t="n"/>
    </row>
    <row r="23">
      <c r="A23" s="6" t="inlineStr">
        <is>
          <t>D20</t>
        </is>
      </c>
      <c r="B23" s="6" t="inlineStr">
        <is>
          <t>¿Cuánto tarda una revisión?</t>
        </is>
      </c>
      <c r="C23" s="7" t="inlineStr">
        <is>
          <t>Erlang(k, ~20 s) · tiempo fijo · sensibilidad</t>
        </is>
      </c>
      <c r="D23" s="7" t="inlineStr">
        <is>
          <t>Erlang(k, ~20 s)</t>
        </is>
      </c>
      <c r="E23" s="7" t="inlineStr">
        <is>
          <t>segundos por ítem en 'A priori'</t>
        </is>
      </c>
      <c r="F23" s="3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2026-09-25T21:48:39Z</dcterms:created>
  <dcterms:modified xsi:type="dcterms:W3CDTF">2026-09-29T21:48:48Z</dcterms:modified>
</cp:coreProperties>
</file>